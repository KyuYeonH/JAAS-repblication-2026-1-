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yeonhwang/Desktop/Dissertation/Data/한국데이터/"/>
    </mc:Choice>
  </mc:AlternateContent>
  <xr:revisionPtr revIDLastSave="0" documentId="13_ncr:1_{AC1D3A3F-575C-6A4E-9143-B5A655740E6C}" xr6:coauthVersionLast="47" xr6:coauthVersionMax="47" xr10:uidLastSave="{00000000-0000-0000-0000-000000000000}"/>
  <bookViews>
    <workbookView xWindow="3640" yWindow="500" windowWidth="24280" windowHeight="19640" xr2:uid="{4F105B85-A24C-48AE-B808-6A2B7CA11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W9" i="1" s="1"/>
  <c r="V10" i="1"/>
  <c r="W10" i="1" s="1"/>
  <c r="V11" i="1"/>
  <c r="W11" i="1" s="1"/>
  <c r="V12" i="1"/>
  <c r="W12" i="1" s="1"/>
  <c r="V13" i="1"/>
  <c r="V14" i="1"/>
  <c r="V15" i="1"/>
  <c r="V16" i="1"/>
  <c r="V17" i="1"/>
  <c r="V18" i="1"/>
  <c r="V19" i="1"/>
  <c r="W19" i="1" s="1"/>
  <c r="V20" i="1"/>
  <c r="W20" i="1" s="1"/>
  <c r="V21" i="1"/>
  <c r="W21" i="1" s="1"/>
  <c r="V22" i="1"/>
  <c r="W22" i="1" s="1"/>
  <c r="V23" i="1"/>
  <c r="V24" i="1"/>
  <c r="V25" i="1"/>
  <c r="V26" i="1"/>
  <c r="V27" i="1"/>
  <c r="V28" i="1"/>
  <c r="V29" i="1"/>
  <c r="W29" i="1" s="1"/>
  <c r="V30" i="1"/>
  <c r="W30" i="1" s="1"/>
  <c r="V31" i="1"/>
  <c r="W31" i="1" s="1"/>
  <c r="V32" i="1"/>
  <c r="W32" i="1" s="1"/>
  <c r="V33" i="1"/>
  <c r="V34" i="1"/>
  <c r="V35" i="1"/>
  <c r="V36" i="1"/>
  <c r="V37" i="1"/>
  <c r="V38" i="1"/>
  <c r="V39" i="1"/>
  <c r="W39" i="1" s="1"/>
  <c r="V40" i="1"/>
  <c r="W40" i="1" s="1"/>
  <c r="V41" i="1"/>
  <c r="W41" i="1" s="1"/>
  <c r="V42" i="1"/>
  <c r="W42" i="1" s="1"/>
  <c r="V43" i="1"/>
  <c r="V44" i="1"/>
  <c r="V45" i="1"/>
  <c r="V46" i="1"/>
  <c r="V47" i="1"/>
  <c r="V48" i="1"/>
  <c r="V49" i="1"/>
  <c r="W49" i="1" s="1"/>
  <c r="V50" i="1"/>
  <c r="W50" i="1" s="1"/>
  <c r="V51" i="1"/>
  <c r="W51" i="1" s="1"/>
  <c r="V52" i="1"/>
  <c r="W52" i="1" s="1"/>
  <c r="V53" i="1"/>
  <c r="V54" i="1"/>
  <c r="V55" i="1"/>
  <c r="V56" i="1"/>
  <c r="V57" i="1"/>
  <c r="V58" i="1"/>
  <c r="V59" i="1"/>
  <c r="W59" i="1" s="1"/>
  <c r="V60" i="1"/>
  <c r="W60" i="1" s="1"/>
  <c r="V61" i="1"/>
  <c r="W61" i="1" s="1"/>
  <c r="V62" i="1"/>
  <c r="W62" i="1" s="1"/>
  <c r="V63" i="1"/>
  <c r="V64" i="1"/>
  <c r="V65" i="1"/>
  <c r="V66" i="1"/>
  <c r="V67" i="1"/>
  <c r="V68" i="1"/>
  <c r="V69" i="1"/>
  <c r="W69" i="1" s="1"/>
  <c r="V70" i="1"/>
  <c r="W70" i="1" s="1"/>
  <c r="V71" i="1"/>
  <c r="W71" i="1" s="1"/>
  <c r="V72" i="1"/>
  <c r="W72" i="1" s="1"/>
  <c r="V73" i="1"/>
  <c r="V74" i="1"/>
  <c r="V75" i="1"/>
  <c r="V76" i="1"/>
  <c r="V77" i="1"/>
  <c r="V78" i="1"/>
  <c r="V79" i="1"/>
  <c r="W79" i="1" s="1"/>
  <c r="V80" i="1"/>
  <c r="W80" i="1" s="1"/>
  <c r="V81" i="1"/>
  <c r="W81" i="1" s="1"/>
  <c r="V82" i="1"/>
  <c r="W82" i="1" s="1"/>
  <c r="V83" i="1"/>
  <c r="V84" i="1"/>
  <c r="V85" i="1"/>
  <c r="V86" i="1"/>
  <c r="W3" i="1"/>
  <c r="W4" i="1"/>
  <c r="W5" i="1"/>
  <c r="W6" i="1"/>
  <c r="W7" i="1"/>
  <c r="W8" i="1"/>
  <c r="W13" i="1"/>
  <c r="W14" i="1"/>
  <c r="W15" i="1"/>
  <c r="W16" i="1"/>
  <c r="W17" i="1"/>
  <c r="W18" i="1"/>
  <c r="W23" i="1"/>
  <c r="W24" i="1"/>
  <c r="W25" i="1"/>
  <c r="W26" i="1"/>
  <c r="W27" i="1"/>
  <c r="W28" i="1"/>
  <c r="W33" i="1"/>
  <c r="W34" i="1"/>
  <c r="W35" i="1"/>
  <c r="W36" i="1"/>
  <c r="W37" i="1"/>
  <c r="W38" i="1"/>
  <c r="W43" i="1"/>
  <c r="W44" i="1"/>
  <c r="W45" i="1"/>
  <c r="W46" i="1"/>
  <c r="W47" i="1"/>
  <c r="W48" i="1"/>
  <c r="W53" i="1"/>
  <c r="W54" i="1"/>
  <c r="W55" i="1"/>
  <c r="W56" i="1"/>
  <c r="W57" i="1"/>
  <c r="W58" i="1"/>
  <c r="W63" i="1"/>
  <c r="W64" i="1"/>
  <c r="W65" i="1"/>
  <c r="W66" i="1"/>
  <c r="W67" i="1"/>
  <c r="W68" i="1"/>
  <c r="W73" i="1"/>
  <c r="W74" i="1"/>
  <c r="W75" i="1"/>
  <c r="W76" i="1"/>
  <c r="W77" i="1"/>
  <c r="W78" i="1"/>
  <c r="W83" i="1"/>
  <c r="W84" i="1"/>
  <c r="W2" i="1"/>
  <c r="V2" i="1"/>
</calcChain>
</file>

<file path=xl/sharedStrings.xml><?xml version="1.0" encoding="utf-8"?>
<sst xmlns="http://schemas.openxmlformats.org/spreadsheetml/2006/main" count="107" uniqueCount="107">
  <si>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</si>
  <si>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</si>
  <si>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</si>
  <si>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</si>
  <si>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</si>
  <si>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</si>
  <si>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</si>
  <si>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</si>
  <si>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</si>
  <si>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</si>
  <si>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</si>
  <si>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</si>
  <si>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</si>
  <si>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</si>
  <si>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</si>
  <si>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</si>
  <si>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</si>
  <si>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</si>
  <si>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</si>
  <si>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</si>
  <si>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</si>
  <si>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</si>
  <si>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</si>
  <si>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</si>
  <si>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</si>
  <si>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</si>
  <si>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</si>
  <si>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</si>
  <si>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</si>
  <si>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</si>
  <si>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</si>
  <si>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</si>
  <si>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</si>
  <si>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</si>
  <si>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</si>
  <si>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</si>
  <si>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</si>
  <si>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</si>
  <si>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</si>
  <si>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</si>
  <si>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</si>
  <si>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</si>
  <si>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</si>
  <si>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</si>
  <si>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</si>
  <si>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</si>
  <si>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</si>
  <si>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</si>
  <si>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</si>
  <si>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</si>
  <si>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</si>
  <si>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</si>
  <si>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</si>
  <si>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</si>
  <si>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</si>
  <si>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</si>
  <si>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</si>
  <si>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</si>
  <si>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</si>
  <si>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</si>
  <si>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</si>
  <si>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</si>
  <si>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</si>
  <si>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</si>
  <si>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</si>
  <si>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</si>
  <si>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</si>
  <si>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</si>
  <si>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</si>
  <si>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</si>
  <si>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</si>
  <si>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</si>
  <si>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</si>
  <si>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</si>
  <si>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</si>
  <si>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</si>
  <si>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</si>
  <si>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</si>
  <si>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</si>
  <si>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</si>
  <si>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</si>
  <si>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</si>
  <si>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</si>
  <si>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RGDPQOQ</t>
  </si>
  <si>
    <t>SLIBRGDPHPX12</t>
  </si>
  <si>
    <t>FLIBRGDP_SA</t>
  </si>
  <si>
    <t>CB3GB3G</t>
  </si>
  <si>
    <t>BOKFEDG</t>
  </si>
  <si>
    <t>EXPQOQ</t>
  </si>
  <si>
    <t>INVQOQ</t>
  </si>
  <si>
    <t>POP</t>
  </si>
  <si>
    <t>USEUJPGR</t>
  </si>
  <si>
    <t>FINDUMMY</t>
  </si>
  <si>
    <t>EXCHGR</t>
  </si>
  <si>
    <t>2024Q3</t>
  </si>
  <si>
    <t>USEUJPCHGR</t>
    <phoneticPr fontId="1" type="noConversion"/>
  </si>
  <si>
    <t>con</t>
  </si>
  <si>
    <t>dpi</t>
  </si>
  <si>
    <t>dpi2</t>
  </si>
  <si>
    <t>con2</t>
  </si>
  <si>
    <t>rdpi</t>
  </si>
  <si>
    <t>emp</t>
  </si>
  <si>
    <t>dfrate</t>
  </si>
  <si>
    <t>rgdp</t>
  </si>
  <si>
    <t>dfratescale</t>
  </si>
  <si>
    <t>dfgdp</t>
  </si>
  <si>
    <t>creditgr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</si>
</sst>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B7FC-63EF-42DB-801D-CDFE544D70E9}">
  <dimension ref="A1:X86"/>
  <sheetViews>
    <sheetView tabSelected="1" topLeftCell="J1" workbookViewId="0">
      <selection activeCell="AA19" sqref="AA19"/>
    </sheetView>
  </sheetViews>
  <sheetFormatPr baseColWidth="10" defaultColWidth="8.83203125" defaultRowHeight="15" x14ac:dyDescent="0.2"/>
  <cols>
    <col min="19" max="19" width="12" customWidth="1"/>
  </cols>
  <sheetData>
    <row r="1" spans="1:24" x14ac:dyDescent="0.2">
      <c r="A1" s="1"/>
      <c r="B1" s="1" t="s">
        <v>83</v>
      </c>
      <c r="C1" s="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</row>
    <row r="2" spans="1:24" x14ac:dyDescent="0.2">
      <c r="A2" t="s">
        <v>0</v>
      </c>
      <c r="B2">
        <v>4.01</v>
      </c>
      <c r="C2">
        <v>47.916299418521497</v>
      </c>
      <c r="D2">
        <v>4.4685271488362002</v>
      </c>
      <c r="E2">
        <v>0.19</v>
      </c>
      <c r="F2">
        <v>-0.05</v>
      </c>
      <c r="G2">
        <v>25.587419570000002</v>
      </c>
      <c r="H2">
        <v>5.9</v>
      </c>
      <c r="I2">
        <v>0.51966706200000001</v>
      </c>
      <c r="J2">
        <v>10.02699</v>
      </c>
      <c r="K2">
        <v>0</v>
      </c>
      <c r="L2">
        <v>-3.0484654999999999E-2</v>
      </c>
      <c r="M2">
        <v>23.726990000000001</v>
      </c>
      <c r="N2">
        <v>166403.6</v>
      </c>
      <c r="O2">
        <v>184166.5</v>
      </c>
      <c r="Q2">
        <v>162170.29999999999</v>
      </c>
      <c r="T2">
        <v>472.0514</v>
      </c>
      <c r="U2">
        <v>1167289.0160000001</v>
      </c>
      <c r="V2">
        <f>T2*1000</f>
        <v>472051.4</v>
      </c>
      <c r="W2">
        <f>V2/U2*100</f>
        <v>40.439976178101894</v>
      </c>
      <c r="X2">
        <v>1.806138</v>
      </c>
    </row>
    <row r="3" spans="1:24" x14ac:dyDescent="0.2">
      <c r="A3" t="s">
        <v>1</v>
      </c>
      <c r="B3">
        <v>5.72</v>
      </c>
      <c r="C3">
        <v>47.591984845627799</v>
      </c>
      <c r="D3">
        <v>1.07672215123722</v>
      </c>
      <c r="E3">
        <v>0.23</v>
      </c>
      <c r="F3">
        <v>-0.25</v>
      </c>
      <c r="G3">
        <v>37.789397170000001</v>
      </c>
      <c r="H3">
        <v>5.9</v>
      </c>
      <c r="I3">
        <v>0.48891051000000002</v>
      </c>
      <c r="J3">
        <v>12.12715</v>
      </c>
      <c r="K3">
        <v>0</v>
      </c>
      <c r="L3">
        <v>-2.4573521000000001E-2</v>
      </c>
      <c r="M3">
        <v>27.927150000000001</v>
      </c>
      <c r="N3">
        <v>163664.20000000001</v>
      </c>
      <c r="O3">
        <v>169804.1</v>
      </c>
      <c r="Q3">
        <v>161922.20000000001</v>
      </c>
      <c r="T3">
        <v>472.34179999999998</v>
      </c>
      <c r="U3">
        <v>1181688.0549999999</v>
      </c>
      <c r="V3">
        <f t="shared" ref="V3:V66" si="0">T3*1000</f>
        <v>472341.8</v>
      </c>
      <c r="W3">
        <f t="shared" ref="W3:W66" si="1">V3/U3*100</f>
        <v>39.971784262471878</v>
      </c>
      <c r="X3">
        <v>6.1481000000000001E-2</v>
      </c>
    </row>
    <row r="4" spans="1:24" x14ac:dyDescent="0.2">
      <c r="A4" t="s">
        <v>2</v>
      </c>
      <c r="B4">
        <v>6.63</v>
      </c>
      <c r="C4">
        <v>47.599954308004797</v>
      </c>
      <c r="D4">
        <v>2.45956741500131</v>
      </c>
      <c r="E4">
        <v>-0.31</v>
      </c>
      <c r="F4">
        <v>-0.01</v>
      </c>
      <c r="G4">
        <v>38.915405550000003</v>
      </c>
      <c r="H4">
        <v>10.4</v>
      </c>
      <c r="I4">
        <v>0.45823366599999998</v>
      </c>
      <c r="J4">
        <v>12.14329</v>
      </c>
      <c r="K4">
        <v>0</v>
      </c>
      <c r="L4">
        <v>-3.8356571999999999E-2</v>
      </c>
      <c r="M4">
        <v>31.043289999999999</v>
      </c>
      <c r="N4">
        <v>159389.4</v>
      </c>
      <c r="O4">
        <v>180354.5</v>
      </c>
      <c r="Q4">
        <v>162455.1</v>
      </c>
      <c r="T4">
        <v>477.3202</v>
      </c>
      <c r="U4">
        <v>1196087.493</v>
      </c>
      <c r="V4">
        <f t="shared" si="0"/>
        <v>477320.2</v>
      </c>
      <c r="W4">
        <f t="shared" si="1"/>
        <v>39.90679635005597</v>
      </c>
      <c r="X4">
        <v>1.0429900000000001</v>
      </c>
    </row>
    <row r="5" spans="1:24" x14ac:dyDescent="0.2">
      <c r="A5" t="s">
        <v>3</v>
      </c>
      <c r="B5">
        <v>5.19</v>
      </c>
      <c r="C5">
        <v>47.591568182654598</v>
      </c>
      <c r="D5">
        <v>3.4499551256963801</v>
      </c>
      <c r="E5">
        <v>-0.63</v>
      </c>
      <c r="F5">
        <v>-0.67</v>
      </c>
      <c r="G5">
        <v>28.865543689999999</v>
      </c>
      <c r="H5">
        <v>10.8</v>
      </c>
      <c r="I5">
        <v>0.42763622200000001</v>
      </c>
      <c r="J5">
        <v>11.29762</v>
      </c>
      <c r="K5">
        <v>0</v>
      </c>
      <c r="L5">
        <v>-1.6976556E-2</v>
      </c>
      <c r="M5">
        <v>29.89762</v>
      </c>
      <c r="N5">
        <v>159621.9</v>
      </c>
      <c r="O5">
        <v>179733.4</v>
      </c>
      <c r="Q5">
        <v>162641.60000000001</v>
      </c>
      <c r="T5">
        <v>482.53289999999998</v>
      </c>
      <c r="U5">
        <v>1210497.83</v>
      </c>
      <c r="V5">
        <f t="shared" si="0"/>
        <v>482532.89999999997</v>
      </c>
      <c r="W5">
        <f t="shared" si="1"/>
        <v>39.862351508717694</v>
      </c>
      <c r="X5">
        <v>1.080279</v>
      </c>
    </row>
    <row r="6" spans="1:24" x14ac:dyDescent="0.2">
      <c r="A6" t="s">
        <v>4</v>
      </c>
      <c r="B6">
        <v>3.38</v>
      </c>
      <c r="C6">
        <v>47.6187302989022</v>
      </c>
      <c r="D6">
        <v>2.8846251459393599</v>
      </c>
      <c r="E6">
        <v>-0.34</v>
      </c>
      <c r="F6">
        <v>-1.45</v>
      </c>
      <c r="G6">
        <v>21.15390459</v>
      </c>
      <c r="H6">
        <v>11.2</v>
      </c>
      <c r="I6">
        <v>0.39711786799999998</v>
      </c>
      <c r="J6">
        <v>11.00169</v>
      </c>
      <c r="K6">
        <v>0</v>
      </c>
      <c r="L6">
        <v>-7.7533933999999999E-2</v>
      </c>
      <c r="M6">
        <v>28.50169</v>
      </c>
      <c r="N6">
        <v>168691.4</v>
      </c>
      <c r="O6">
        <v>189570.7</v>
      </c>
      <c r="Q6">
        <v>164347.9</v>
      </c>
      <c r="T6">
        <v>494.20260000000002</v>
      </c>
      <c r="U6">
        <v>1224929.1329999999</v>
      </c>
      <c r="V6">
        <f t="shared" si="0"/>
        <v>494202.60000000003</v>
      </c>
      <c r="W6">
        <f t="shared" si="1"/>
        <v>40.345403394042719</v>
      </c>
      <c r="X6">
        <v>2.3613189999999999</v>
      </c>
    </row>
    <row r="7" spans="1:24" x14ac:dyDescent="0.2">
      <c r="A7" t="s">
        <v>5</v>
      </c>
      <c r="B7">
        <v>3.11</v>
      </c>
      <c r="C7">
        <v>47.314533667454697</v>
      </c>
      <c r="D7">
        <v>1.1342493972160199</v>
      </c>
      <c r="E7">
        <v>-0.35</v>
      </c>
      <c r="F7">
        <v>-1.97</v>
      </c>
      <c r="G7">
        <v>12.662416260000001</v>
      </c>
      <c r="H7">
        <v>5.6</v>
      </c>
      <c r="I7">
        <v>0.35075653000000001</v>
      </c>
      <c r="J7">
        <v>10.671889999999999</v>
      </c>
      <c r="K7">
        <v>0</v>
      </c>
      <c r="L7">
        <v>-0.12792513</v>
      </c>
      <c r="M7">
        <v>27.771889999999999</v>
      </c>
      <c r="N7">
        <v>167477.79999999999</v>
      </c>
      <c r="O7">
        <v>170910.8</v>
      </c>
      <c r="Q7">
        <v>165965.29999999999</v>
      </c>
      <c r="T7">
        <v>497.00830000000002</v>
      </c>
      <c r="U7">
        <v>1239392.1159999999</v>
      </c>
      <c r="V7">
        <f t="shared" si="0"/>
        <v>497008.30000000005</v>
      </c>
      <c r="W7">
        <f t="shared" si="1"/>
        <v>40.100973177402402</v>
      </c>
      <c r="X7">
        <v>0.56451799999999996</v>
      </c>
    </row>
    <row r="8" spans="1:24" x14ac:dyDescent="0.2">
      <c r="A8" t="s">
        <v>6</v>
      </c>
      <c r="B8">
        <v>3.94</v>
      </c>
      <c r="C8">
        <v>48.555622185768897</v>
      </c>
      <c r="D8">
        <v>6.6264612087330201</v>
      </c>
      <c r="E8">
        <v>-0.28999999999999998</v>
      </c>
      <c r="F8">
        <v>-2.4300000000000002</v>
      </c>
      <c r="G8">
        <v>8.9536247650000007</v>
      </c>
      <c r="H8">
        <v>6.2</v>
      </c>
      <c r="I8">
        <v>0.30448706399999997</v>
      </c>
      <c r="J8">
        <v>10.75609</v>
      </c>
      <c r="K8">
        <v>0</v>
      </c>
      <c r="L8">
        <v>-0.13296353599999999</v>
      </c>
      <c r="M8">
        <v>26.45609</v>
      </c>
      <c r="N8">
        <v>167178.70000000001</v>
      </c>
      <c r="O8">
        <v>182991.5</v>
      </c>
      <c r="Q8">
        <v>170086</v>
      </c>
      <c r="T8">
        <v>516.02859999999998</v>
      </c>
      <c r="U8">
        <v>1253894.5490000001</v>
      </c>
      <c r="V8">
        <f t="shared" si="0"/>
        <v>516028.6</v>
      </c>
      <c r="W8">
        <f t="shared" si="1"/>
        <v>41.154066776312298</v>
      </c>
      <c r="X8">
        <v>3.6859000000000002</v>
      </c>
    </row>
    <row r="9" spans="1:24" x14ac:dyDescent="0.2">
      <c r="A9" t="s">
        <v>7</v>
      </c>
      <c r="B9">
        <v>5.01</v>
      </c>
      <c r="C9">
        <v>49.260894762987498</v>
      </c>
      <c r="D9">
        <v>5.1721876318874402</v>
      </c>
      <c r="E9">
        <v>-0.14000000000000001</v>
      </c>
      <c r="F9">
        <v>-2.2799999999999998</v>
      </c>
      <c r="G9">
        <v>15.35483657</v>
      </c>
      <c r="H9">
        <v>8.1</v>
      </c>
      <c r="I9">
        <v>0.25830919699999999</v>
      </c>
      <c r="J9">
        <v>11.614050000000001</v>
      </c>
      <c r="K9">
        <v>0</v>
      </c>
      <c r="L9">
        <v>-0.109236496</v>
      </c>
      <c r="M9">
        <v>26.41405</v>
      </c>
      <c r="N9">
        <v>169023.8</v>
      </c>
      <c r="O9">
        <v>184253.7</v>
      </c>
      <c r="Q9">
        <v>172082.8</v>
      </c>
      <c r="T9">
        <v>527.08399999999995</v>
      </c>
      <c r="U9">
        <v>1268438.7949999999</v>
      </c>
      <c r="V9">
        <f t="shared" si="0"/>
        <v>527084</v>
      </c>
      <c r="W9">
        <f t="shared" si="1"/>
        <v>41.55375900498219</v>
      </c>
      <c r="X9">
        <v>2.0974650000000001</v>
      </c>
    </row>
    <row r="10" spans="1:24" x14ac:dyDescent="0.2">
      <c r="A10" t="s">
        <v>8</v>
      </c>
      <c r="B10">
        <v>5.26</v>
      </c>
      <c r="C10">
        <v>50.2878774415734</v>
      </c>
      <c r="D10">
        <v>6.2920283106532002</v>
      </c>
      <c r="E10">
        <v>-0.05</v>
      </c>
      <c r="F10">
        <v>-1.53</v>
      </c>
      <c r="G10">
        <v>11.421354129999999</v>
      </c>
      <c r="H10">
        <v>2.8</v>
      </c>
      <c r="I10">
        <v>0.21222265800000001</v>
      </c>
      <c r="J10">
        <v>11.615600000000001</v>
      </c>
      <c r="K10">
        <v>0</v>
      </c>
      <c r="L10">
        <v>-5.0111388999999999E-2</v>
      </c>
      <c r="M10">
        <v>27.215599999999998</v>
      </c>
      <c r="N10">
        <v>178394.1</v>
      </c>
      <c r="O10">
        <v>194797.7</v>
      </c>
      <c r="Q10">
        <v>173940.4</v>
      </c>
      <c r="T10">
        <v>542.87139999999999</v>
      </c>
      <c r="U10">
        <v>1283019.95</v>
      </c>
      <c r="V10">
        <f t="shared" si="0"/>
        <v>542871.4</v>
      </c>
      <c r="W10">
        <f t="shared" si="1"/>
        <v>42.311999903041261</v>
      </c>
      <c r="X10">
        <v>2.9081290000000002</v>
      </c>
    </row>
    <row r="11" spans="1:24" x14ac:dyDescent="0.2">
      <c r="A11" t="s">
        <v>9</v>
      </c>
      <c r="B11">
        <v>6.33</v>
      </c>
      <c r="C11">
        <v>50.418248484420403</v>
      </c>
      <c r="D11">
        <v>2.8768997648722698</v>
      </c>
      <c r="E11">
        <v>-0.01</v>
      </c>
      <c r="F11">
        <v>-1.24</v>
      </c>
      <c r="G11">
        <v>10.593619090000001</v>
      </c>
      <c r="H11">
        <v>10.7</v>
      </c>
      <c r="I11">
        <v>0.29093740000000001</v>
      </c>
      <c r="J11">
        <v>12.27378</v>
      </c>
      <c r="K11">
        <v>0</v>
      </c>
      <c r="L11">
        <v>-4.5812055999999997E-2</v>
      </c>
      <c r="M11">
        <v>28.673780000000001</v>
      </c>
      <c r="N11">
        <v>177217.2</v>
      </c>
      <c r="O11">
        <v>177087.2</v>
      </c>
      <c r="P11" s="2">
        <v>2275672</v>
      </c>
      <c r="Q11">
        <v>175684.6</v>
      </c>
      <c r="R11" s="2">
        <v>3014934</v>
      </c>
      <c r="T11">
        <v>550.33079999999995</v>
      </c>
      <c r="U11">
        <v>1297626.395</v>
      </c>
      <c r="V11">
        <f t="shared" si="0"/>
        <v>550330.79999999993</v>
      </c>
      <c r="W11">
        <f t="shared" si="1"/>
        <v>42.410573807725285</v>
      </c>
      <c r="X11">
        <v>1.3554390000000001</v>
      </c>
    </row>
    <row r="12" spans="1:24" x14ac:dyDescent="0.2">
      <c r="A12" t="s">
        <v>10</v>
      </c>
      <c r="B12">
        <v>4.93</v>
      </c>
      <c r="C12">
        <v>51.358283128764299</v>
      </c>
      <c r="D12">
        <v>5.8696072996789601</v>
      </c>
      <c r="E12">
        <v>-0.12</v>
      </c>
      <c r="F12">
        <v>-0.96</v>
      </c>
      <c r="G12">
        <v>16.886916599999999</v>
      </c>
      <c r="H12">
        <v>2.6</v>
      </c>
      <c r="I12">
        <v>0.36956870400000003</v>
      </c>
      <c r="J12">
        <v>12.487259999999999</v>
      </c>
      <c r="K12">
        <v>0</v>
      </c>
      <c r="L12">
        <v>-5.8530633999999998E-2</v>
      </c>
      <c r="M12">
        <v>30.087260000000001</v>
      </c>
      <c r="N12">
        <v>175090.5</v>
      </c>
      <c r="O12">
        <v>187098.3</v>
      </c>
      <c r="P12" s="2">
        <v>2206263</v>
      </c>
      <c r="Q12">
        <v>177968</v>
      </c>
      <c r="R12" s="2">
        <v>2904851</v>
      </c>
      <c r="T12">
        <v>569.37900000000002</v>
      </c>
      <c r="U12">
        <v>1312240.7120000001</v>
      </c>
      <c r="V12">
        <f t="shared" si="0"/>
        <v>569379</v>
      </c>
      <c r="W12">
        <f t="shared" si="1"/>
        <v>43.389828923399534</v>
      </c>
      <c r="X12">
        <v>3.345434</v>
      </c>
    </row>
    <row r="13" spans="1:24" x14ac:dyDescent="0.2">
      <c r="A13" t="s">
        <v>11</v>
      </c>
      <c r="B13">
        <v>5.0599999999999996</v>
      </c>
      <c r="C13">
        <v>51.915110913790997</v>
      </c>
      <c r="D13">
        <v>4.4193349870928103</v>
      </c>
      <c r="E13">
        <v>-0.08</v>
      </c>
      <c r="F13">
        <v>-0.54</v>
      </c>
      <c r="G13">
        <v>16.336836869999999</v>
      </c>
      <c r="H13">
        <v>7.8</v>
      </c>
      <c r="I13">
        <v>0.44811670399999998</v>
      </c>
      <c r="J13">
        <v>10.652089999999999</v>
      </c>
      <c r="K13">
        <v>0</v>
      </c>
      <c r="L13">
        <v>-7.1942935E-2</v>
      </c>
      <c r="M13">
        <v>27.35209</v>
      </c>
      <c r="N13">
        <v>176853.4</v>
      </c>
      <c r="O13">
        <v>188626</v>
      </c>
      <c r="P13" s="2">
        <v>2248611</v>
      </c>
      <c r="Q13">
        <v>179961.2</v>
      </c>
      <c r="R13" s="2">
        <v>2936636</v>
      </c>
      <c r="T13">
        <v>582.45240000000001</v>
      </c>
      <c r="U13">
        <v>1326843.1640000001</v>
      </c>
      <c r="V13">
        <f t="shared" si="0"/>
        <v>582452.4</v>
      </c>
      <c r="W13">
        <f t="shared" si="1"/>
        <v>43.897607177934702</v>
      </c>
      <c r="X13">
        <v>2.2445439999999999</v>
      </c>
    </row>
    <row r="14" spans="1:24" x14ac:dyDescent="0.2">
      <c r="A14" t="s">
        <v>12</v>
      </c>
      <c r="B14">
        <v>4.7699999999999996</v>
      </c>
      <c r="C14">
        <v>53.415700216046403</v>
      </c>
      <c r="D14">
        <v>9.9869940265299508</v>
      </c>
      <c r="E14">
        <v>-0.08</v>
      </c>
      <c r="F14">
        <v>-0.52</v>
      </c>
      <c r="G14">
        <v>13.77803213</v>
      </c>
      <c r="H14">
        <v>3</v>
      </c>
      <c r="I14">
        <v>0.52658153299999999</v>
      </c>
      <c r="J14">
        <v>12.258279999999999</v>
      </c>
      <c r="K14">
        <v>0</v>
      </c>
      <c r="L14">
        <v>-9.4806535999999997E-2</v>
      </c>
      <c r="M14">
        <v>30.05828</v>
      </c>
      <c r="N14">
        <v>187098.2</v>
      </c>
      <c r="O14">
        <v>198870.7</v>
      </c>
      <c r="P14" s="2">
        <v>2321824</v>
      </c>
      <c r="Q14">
        <v>182645.5</v>
      </c>
      <c r="R14" s="2">
        <v>3042102</v>
      </c>
      <c r="T14">
        <v>607.13319999999999</v>
      </c>
      <c r="U14">
        <v>1341411.976</v>
      </c>
      <c r="V14">
        <f t="shared" si="0"/>
        <v>607133.19999999995</v>
      </c>
      <c r="W14">
        <f t="shared" si="1"/>
        <v>45.260755894727453</v>
      </c>
      <c r="X14">
        <v>4.0651380000000001</v>
      </c>
    </row>
    <row r="15" spans="1:24" x14ac:dyDescent="0.2">
      <c r="A15" t="s">
        <v>13</v>
      </c>
      <c r="B15">
        <v>4.99</v>
      </c>
      <c r="C15">
        <v>53.7821987064994</v>
      </c>
      <c r="D15">
        <v>2.96920321303676</v>
      </c>
      <c r="E15">
        <v>-0.06</v>
      </c>
      <c r="F15">
        <v>-0.3</v>
      </c>
      <c r="G15">
        <v>14.642435989999999</v>
      </c>
      <c r="H15">
        <v>5.3</v>
      </c>
      <c r="I15">
        <v>0.52154448399999997</v>
      </c>
      <c r="J15">
        <v>12.2232</v>
      </c>
      <c r="K15">
        <v>0</v>
      </c>
      <c r="L15">
        <v>-3.7328658000000001E-2</v>
      </c>
      <c r="M15">
        <v>33.623199999999997</v>
      </c>
      <c r="N15">
        <v>186557.3</v>
      </c>
      <c r="O15">
        <v>182467.6</v>
      </c>
      <c r="P15" s="2">
        <v>2384140</v>
      </c>
      <c r="Q15">
        <v>184884.4</v>
      </c>
      <c r="R15" s="2">
        <v>3096608</v>
      </c>
      <c r="T15">
        <v>612.38869999999997</v>
      </c>
      <c r="U15">
        <v>1355924.298</v>
      </c>
      <c r="V15">
        <f t="shared" si="0"/>
        <v>612388.69999999995</v>
      </c>
      <c r="W15">
        <f t="shared" si="1"/>
        <v>45.163929940873437</v>
      </c>
      <c r="X15">
        <v>0.85819699999999999</v>
      </c>
    </row>
    <row r="16" spans="1:24" x14ac:dyDescent="0.2">
      <c r="A16" t="s">
        <v>14</v>
      </c>
      <c r="B16">
        <v>5.9</v>
      </c>
      <c r="C16">
        <v>54.785764572724602</v>
      </c>
      <c r="D16">
        <v>6.2846579800068501</v>
      </c>
      <c r="E16">
        <v>0.12</v>
      </c>
      <c r="F16">
        <v>-0.09</v>
      </c>
      <c r="G16">
        <v>14.12856964</v>
      </c>
      <c r="H16">
        <v>13.8</v>
      </c>
      <c r="I16">
        <v>0.51652066200000002</v>
      </c>
      <c r="J16">
        <v>11.8545</v>
      </c>
      <c r="K16">
        <v>0</v>
      </c>
      <c r="L16">
        <v>-2.1587054000000001E-2</v>
      </c>
      <c r="M16">
        <v>34.854500000000002</v>
      </c>
      <c r="N16">
        <v>184866.4</v>
      </c>
      <c r="O16">
        <v>194460.4</v>
      </c>
      <c r="P16" s="2">
        <v>2270012</v>
      </c>
      <c r="Q16">
        <v>187942</v>
      </c>
      <c r="R16" s="2">
        <v>2917340</v>
      </c>
      <c r="T16">
        <v>629.59059999999999</v>
      </c>
      <c r="U16">
        <v>1370356.8910000001</v>
      </c>
      <c r="V16">
        <f t="shared" si="0"/>
        <v>629590.6</v>
      </c>
      <c r="W16">
        <f t="shared" si="1"/>
        <v>45.943549752252089</v>
      </c>
      <c r="X16">
        <v>2.7322359999999999</v>
      </c>
    </row>
    <row r="17" spans="1:24" x14ac:dyDescent="0.2">
      <c r="A17" t="s">
        <v>15</v>
      </c>
      <c r="B17">
        <v>5.53</v>
      </c>
      <c r="C17">
        <v>55.565269788238702</v>
      </c>
      <c r="D17">
        <v>5.6538868053551701</v>
      </c>
      <c r="E17">
        <v>0.1</v>
      </c>
      <c r="F17">
        <v>0.67</v>
      </c>
      <c r="G17">
        <v>9.4499542460000008</v>
      </c>
      <c r="H17">
        <v>3.2</v>
      </c>
      <c r="I17">
        <v>0.51151001500000004</v>
      </c>
      <c r="J17">
        <v>11.08977</v>
      </c>
      <c r="K17">
        <v>0</v>
      </c>
      <c r="L17">
        <v>-2.9016314000000001E-2</v>
      </c>
      <c r="M17">
        <v>34.98977</v>
      </c>
      <c r="N17">
        <v>186947.8</v>
      </c>
      <c r="O17">
        <v>195365.4</v>
      </c>
      <c r="P17" s="2">
        <v>2387117</v>
      </c>
      <c r="Q17">
        <v>189986.9</v>
      </c>
      <c r="R17" s="2">
        <v>3047435</v>
      </c>
      <c r="T17">
        <v>642.03060000000005</v>
      </c>
      <c r="U17">
        <v>1384687.5989999999</v>
      </c>
      <c r="V17">
        <f t="shared" si="0"/>
        <v>642030.60000000009</v>
      </c>
      <c r="W17">
        <f t="shared" si="1"/>
        <v>46.366458431754907</v>
      </c>
      <c r="X17">
        <v>1.937602</v>
      </c>
    </row>
    <row r="18" spans="1:24" x14ac:dyDescent="0.2">
      <c r="A18" t="s">
        <v>16</v>
      </c>
      <c r="B18">
        <v>6.84</v>
      </c>
      <c r="C18">
        <v>56.819891127757501</v>
      </c>
      <c r="D18">
        <v>6.9059450003952501</v>
      </c>
      <c r="E18">
        <v>0.34</v>
      </c>
      <c r="F18">
        <v>1.25</v>
      </c>
      <c r="G18">
        <v>18.168741409999999</v>
      </c>
      <c r="H18">
        <v>15.3</v>
      </c>
      <c r="I18">
        <v>0.50651249200000004</v>
      </c>
      <c r="J18">
        <v>9.1233199999999997</v>
      </c>
      <c r="K18">
        <v>0</v>
      </c>
      <c r="L18">
        <v>-1.7720817E-2</v>
      </c>
      <c r="M18">
        <v>32.823320000000002</v>
      </c>
      <c r="N18">
        <v>196326.8</v>
      </c>
      <c r="O18">
        <v>208517.1</v>
      </c>
      <c r="P18" s="2">
        <v>2390103</v>
      </c>
      <c r="Q18">
        <v>191885</v>
      </c>
      <c r="R18" s="2">
        <v>3029204</v>
      </c>
      <c r="T18">
        <v>665.39419999999996</v>
      </c>
      <c r="U18">
        <v>1398898.3160000001</v>
      </c>
      <c r="V18">
        <f t="shared" si="0"/>
        <v>665394.19999999995</v>
      </c>
      <c r="W18">
        <f t="shared" si="1"/>
        <v>47.565587318928472</v>
      </c>
      <c r="X18">
        <v>3.5112420000000002</v>
      </c>
    </row>
    <row r="19" spans="1:24" x14ac:dyDescent="0.2">
      <c r="A19" t="s">
        <v>17</v>
      </c>
      <c r="B19">
        <v>5.85</v>
      </c>
      <c r="C19">
        <v>57.573365873002203</v>
      </c>
      <c r="D19">
        <v>5.3595259131929804</v>
      </c>
      <c r="E19">
        <v>0.75</v>
      </c>
      <c r="F19">
        <v>2.58</v>
      </c>
      <c r="G19">
        <v>17.40307009</v>
      </c>
      <c r="H19">
        <v>8.6</v>
      </c>
      <c r="I19">
        <v>0.57067859799999998</v>
      </c>
      <c r="J19">
        <v>7.1064100000000003</v>
      </c>
      <c r="K19">
        <v>0</v>
      </c>
      <c r="L19">
        <v>1.8253849999999999E-2</v>
      </c>
      <c r="M19">
        <v>28.506409999999999</v>
      </c>
      <c r="N19">
        <v>195871</v>
      </c>
      <c r="O19">
        <v>193690.6</v>
      </c>
      <c r="P19" s="2">
        <v>2471945</v>
      </c>
      <c r="Q19">
        <v>193903.4</v>
      </c>
      <c r="R19" s="2">
        <v>3093063</v>
      </c>
      <c r="T19">
        <v>677.19870000000003</v>
      </c>
      <c r="U19">
        <v>1412977.49</v>
      </c>
      <c r="V19">
        <f t="shared" si="0"/>
        <v>677198.70000000007</v>
      </c>
      <c r="W19">
        <f t="shared" si="1"/>
        <v>47.927069241563082</v>
      </c>
      <c r="X19">
        <v>1.7431369999999999</v>
      </c>
    </row>
    <row r="20" spans="1:24" x14ac:dyDescent="0.2">
      <c r="A20" t="s">
        <v>18</v>
      </c>
      <c r="B20">
        <v>4.42</v>
      </c>
      <c r="C20">
        <v>58.769096196002501</v>
      </c>
      <c r="D20">
        <v>6.7087145735986802</v>
      </c>
      <c r="E20">
        <v>0.55000000000000004</v>
      </c>
      <c r="F20">
        <v>3.66</v>
      </c>
      <c r="G20">
        <v>23.130258120000001</v>
      </c>
      <c r="H20">
        <v>10.7</v>
      </c>
      <c r="I20">
        <v>0.63468261000000004</v>
      </c>
      <c r="J20">
        <v>5.1397599999999999</v>
      </c>
      <c r="K20">
        <v>0</v>
      </c>
      <c r="L20">
        <v>9.5112470000000005E-2</v>
      </c>
      <c r="M20">
        <v>26.639759999999999</v>
      </c>
      <c r="N20">
        <v>190309</v>
      </c>
      <c r="O20">
        <v>203638</v>
      </c>
      <c r="P20" s="2">
        <v>2369130</v>
      </c>
      <c r="Q20">
        <v>193671.7</v>
      </c>
      <c r="R20" s="2">
        <v>2904022</v>
      </c>
      <c r="T20">
        <v>698.2269</v>
      </c>
      <c r="U20">
        <v>1426926.487</v>
      </c>
      <c r="V20">
        <f t="shared" si="0"/>
        <v>698226.9</v>
      </c>
      <c r="W20">
        <f t="shared" si="1"/>
        <v>48.932226457437679</v>
      </c>
      <c r="X20">
        <v>3.011657</v>
      </c>
    </row>
    <row r="21" spans="1:24" x14ac:dyDescent="0.2">
      <c r="A21" t="s">
        <v>19</v>
      </c>
      <c r="B21">
        <v>3.96</v>
      </c>
      <c r="C21">
        <v>59.450224950068097</v>
      </c>
      <c r="D21">
        <v>4.6727904766604604</v>
      </c>
      <c r="E21">
        <v>0.91</v>
      </c>
      <c r="F21">
        <v>3.38</v>
      </c>
      <c r="G21">
        <v>27.031101029999999</v>
      </c>
      <c r="H21">
        <v>20.6</v>
      </c>
      <c r="I21">
        <v>0.69852514099999996</v>
      </c>
      <c r="J21">
        <v>2.08432</v>
      </c>
      <c r="K21">
        <v>1</v>
      </c>
      <c r="L21">
        <v>0.14805827899999999</v>
      </c>
      <c r="M21">
        <v>20.784320000000001</v>
      </c>
      <c r="N21">
        <v>190801.4</v>
      </c>
      <c r="O21">
        <v>203676.3</v>
      </c>
      <c r="P21" s="2">
        <v>2489688</v>
      </c>
      <c r="Q21">
        <v>193592.1</v>
      </c>
      <c r="R21" s="2">
        <v>3011488</v>
      </c>
      <c r="T21">
        <v>713.28959999999995</v>
      </c>
      <c r="U21">
        <v>1440763.0930000001</v>
      </c>
      <c r="V21">
        <f t="shared" si="0"/>
        <v>713289.6</v>
      </c>
      <c r="W21">
        <f t="shared" si="1"/>
        <v>49.507764563483299</v>
      </c>
      <c r="X21">
        <v>2.111723</v>
      </c>
    </row>
    <row r="22" spans="1:24" x14ac:dyDescent="0.2">
      <c r="A22" t="s">
        <v>20</v>
      </c>
      <c r="B22">
        <v>-1.7</v>
      </c>
      <c r="C22">
        <v>59.248561770864903</v>
      </c>
      <c r="D22">
        <v>2.24371485533131</v>
      </c>
      <c r="E22">
        <v>2.94</v>
      </c>
      <c r="F22">
        <v>1.99</v>
      </c>
      <c r="G22">
        <v>-9.8781246389999904</v>
      </c>
      <c r="H22">
        <v>-9</v>
      </c>
      <c r="I22">
        <v>0.76220680100000004</v>
      </c>
      <c r="J22">
        <v>-4.9119200000000003</v>
      </c>
      <c r="K22">
        <v>1</v>
      </c>
      <c r="L22">
        <v>0.47717256800000002</v>
      </c>
      <c r="M22">
        <v>7.7880799999999901</v>
      </c>
      <c r="N22">
        <v>190471.3</v>
      </c>
      <c r="O22">
        <v>205565.8</v>
      </c>
      <c r="P22" s="2">
        <v>2427838</v>
      </c>
      <c r="Q22">
        <v>186285.5</v>
      </c>
      <c r="R22" s="2">
        <v>2944654</v>
      </c>
      <c r="T22">
        <v>723.52149999999995</v>
      </c>
      <c r="U22">
        <v>1454522.48</v>
      </c>
      <c r="V22">
        <f t="shared" si="0"/>
        <v>723521.5</v>
      </c>
      <c r="W22">
        <f t="shared" si="1"/>
        <v>49.742888813928815</v>
      </c>
      <c r="X22">
        <v>1.4141809999999999</v>
      </c>
    </row>
    <row r="23" spans="1:24" x14ac:dyDescent="0.2">
      <c r="A23" t="s">
        <v>21</v>
      </c>
      <c r="B23">
        <v>-2.08</v>
      </c>
      <c r="C23">
        <v>58.645090618678097</v>
      </c>
      <c r="D23">
        <v>-0.31042442669784598</v>
      </c>
      <c r="E23">
        <v>2.08</v>
      </c>
      <c r="F23">
        <v>-0.01</v>
      </c>
      <c r="G23">
        <v>-25.16292498</v>
      </c>
      <c r="H23">
        <v>-16.5</v>
      </c>
      <c r="I23">
        <v>0.70030631899999995</v>
      </c>
      <c r="J23">
        <v>-14.49151</v>
      </c>
      <c r="K23">
        <v>1</v>
      </c>
      <c r="L23">
        <v>0.48022214800000002</v>
      </c>
      <c r="M23">
        <v>-7.8915100000000002</v>
      </c>
      <c r="N23">
        <v>187400</v>
      </c>
      <c r="O23">
        <v>188168.4</v>
      </c>
      <c r="P23" s="2">
        <v>2454089</v>
      </c>
      <c r="Q23">
        <v>185461.5</v>
      </c>
      <c r="R23" s="2">
        <v>2955131</v>
      </c>
      <c r="T23">
        <v>720.37540000000001</v>
      </c>
      <c r="U23">
        <v>1468257.344</v>
      </c>
      <c r="V23">
        <f t="shared" si="0"/>
        <v>720375.4</v>
      </c>
      <c r="W23">
        <f t="shared" si="1"/>
        <v>49.063292817420432</v>
      </c>
      <c r="X23">
        <v>-0.43673000000000001</v>
      </c>
    </row>
    <row r="24" spans="1:24" x14ac:dyDescent="0.2">
      <c r="A24" t="s">
        <v>22</v>
      </c>
      <c r="B24">
        <v>-1.28</v>
      </c>
      <c r="C24">
        <v>59.450545422341598</v>
      </c>
      <c r="D24">
        <v>5.2379540964258702</v>
      </c>
      <c r="E24">
        <v>0.51</v>
      </c>
      <c r="F24">
        <v>-1.0900000000000001</v>
      </c>
      <c r="G24">
        <v>-21.077119150000001</v>
      </c>
      <c r="H24">
        <v>-17.8</v>
      </c>
      <c r="I24">
        <v>0.63864084600000004</v>
      </c>
      <c r="J24">
        <v>-14.37846</v>
      </c>
      <c r="K24">
        <v>1</v>
      </c>
      <c r="L24">
        <v>0.26131246200000002</v>
      </c>
      <c r="M24">
        <v>-7.7784599999999999</v>
      </c>
      <c r="N24">
        <v>188548.8</v>
      </c>
      <c r="O24">
        <v>199446.5</v>
      </c>
      <c r="P24" s="2">
        <v>2357139</v>
      </c>
      <c r="Q24">
        <v>192156</v>
      </c>
      <c r="R24" s="2">
        <v>2811574</v>
      </c>
      <c r="T24">
        <v>736.34709999999995</v>
      </c>
      <c r="U24">
        <v>1482025.175</v>
      </c>
      <c r="V24">
        <f t="shared" si="0"/>
        <v>736347.1</v>
      </c>
      <c r="W24">
        <f t="shared" si="1"/>
        <v>49.685195124974847</v>
      </c>
      <c r="X24">
        <v>2.1690450000000001</v>
      </c>
    </row>
    <row r="25" spans="1:24" x14ac:dyDescent="0.2">
      <c r="A25" t="s">
        <v>23</v>
      </c>
      <c r="B25">
        <v>1.06</v>
      </c>
      <c r="C25">
        <v>60.064246987801901</v>
      </c>
      <c r="D25">
        <v>4.7329215846667001</v>
      </c>
      <c r="E25">
        <v>-0.05</v>
      </c>
      <c r="F25">
        <v>-1.47</v>
      </c>
      <c r="G25">
        <v>-17.58225071</v>
      </c>
      <c r="H25">
        <v>-9.4</v>
      </c>
      <c r="I25">
        <v>0.57720904699999998</v>
      </c>
      <c r="J25">
        <v>-12.42295</v>
      </c>
      <c r="K25">
        <v>1</v>
      </c>
      <c r="L25">
        <v>0.162499061</v>
      </c>
      <c r="M25">
        <v>-3.4229500000000002</v>
      </c>
      <c r="N25">
        <v>191816.1</v>
      </c>
      <c r="O25">
        <v>204221</v>
      </c>
      <c r="P25" s="2">
        <v>2455634</v>
      </c>
      <c r="Q25">
        <v>194336</v>
      </c>
      <c r="R25" s="2">
        <v>2912625</v>
      </c>
      <c r="S25" s="3">
        <v>13346177</v>
      </c>
      <c r="T25">
        <v>754.18960000000004</v>
      </c>
      <c r="U25">
        <v>1495875.2420000001</v>
      </c>
      <c r="V25">
        <f t="shared" si="0"/>
        <v>754189.60000000009</v>
      </c>
      <c r="W25">
        <f t="shared" si="1"/>
        <v>50.417947889266557</v>
      </c>
      <c r="X25">
        <v>2.3657840000000001</v>
      </c>
    </row>
    <row r="26" spans="1:24" x14ac:dyDescent="0.2">
      <c r="A26" t="s">
        <v>24</v>
      </c>
      <c r="B26">
        <v>5.39</v>
      </c>
      <c r="C26">
        <v>61.130061984128702</v>
      </c>
      <c r="D26">
        <v>6.1812244976846902</v>
      </c>
      <c r="E26">
        <v>-2.4900000000000002</v>
      </c>
      <c r="F26">
        <v>-0.61</v>
      </c>
      <c r="G26">
        <v>11.712195489999999</v>
      </c>
      <c r="H26">
        <v>12.7</v>
      </c>
      <c r="I26">
        <v>0.51600959499999999</v>
      </c>
      <c r="J26">
        <v>-5.2867600000000001</v>
      </c>
      <c r="K26">
        <v>0</v>
      </c>
      <c r="L26">
        <v>-0.14267448499999999</v>
      </c>
      <c r="M26">
        <v>8.4132399999999894</v>
      </c>
      <c r="N26">
        <v>200658.6</v>
      </c>
      <c r="O26">
        <v>214938.2</v>
      </c>
      <c r="P26" s="2">
        <v>2527315</v>
      </c>
      <c r="Q26">
        <v>196470</v>
      </c>
      <c r="R26" s="2">
        <v>2993243</v>
      </c>
      <c r="S26" s="3">
        <v>13395170</v>
      </c>
      <c r="T26">
        <v>775.98530000000005</v>
      </c>
      <c r="U26">
        <v>1509836.9280000001</v>
      </c>
      <c r="V26">
        <f t="shared" si="0"/>
        <v>775985.3</v>
      </c>
      <c r="W26">
        <f t="shared" si="1"/>
        <v>51.395305387576265</v>
      </c>
      <c r="X26">
        <v>2.8087770000000001</v>
      </c>
    </row>
    <row r="27" spans="1:24" x14ac:dyDescent="0.2">
      <c r="A27" t="s">
        <v>25</v>
      </c>
      <c r="B27">
        <v>7.86</v>
      </c>
      <c r="C27">
        <v>61.723605417942402</v>
      </c>
      <c r="D27">
        <v>3.79863288178769</v>
      </c>
      <c r="E27">
        <v>-2.1</v>
      </c>
      <c r="F27">
        <v>0.05</v>
      </c>
      <c r="G27">
        <v>35.826225219999998</v>
      </c>
      <c r="H27">
        <v>35.799999999999997</v>
      </c>
      <c r="I27">
        <v>0.51185828499999997</v>
      </c>
      <c r="J27">
        <v>5.7202500000000001</v>
      </c>
      <c r="K27">
        <v>0</v>
      </c>
      <c r="L27">
        <v>-0.192493305</v>
      </c>
      <c r="M27">
        <v>24.020250000000001</v>
      </c>
      <c r="N27">
        <v>200625.2</v>
      </c>
      <c r="O27">
        <v>196361.9</v>
      </c>
      <c r="P27" s="2">
        <v>2626979</v>
      </c>
      <c r="Q27">
        <v>198401.5</v>
      </c>
      <c r="R27" s="2">
        <v>3071663</v>
      </c>
      <c r="S27" s="3">
        <v>13444798</v>
      </c>
      <c r="T27">
        <v>783.32360000000006</v>
      </c>
      <c r="U27">
        <v>1523913.6529999999</v>
      </c>
      <c r="V27">
        <f t="shared" si="0"/>
        <v>783323.60000000009</v>
      </c>
      <c r="W27">
        <f t="shared" si="1"/>
        <v>51.402098698829633</v>
      </c>
      <c r="X27">
        <v>0.93681599999999998</v>
      </c>
    </row>
    <row r="28" spans="1:24" x14ac:dyDescent="0.2">
      <c r="A28" t="s">
        <v>26</v>
      </c>
      <c r="B28">
        <v>8.11</v>
      </c>
      <c r="C28">
        <v>62.327514900401702</v>
      </c>
      <c r="D28">
        <v>4.5335829666006298</v>
      </c>
      <c r="E28">
        <v>-0.59</v>
      </c>
      <c r="F28">
        <v>-0.01</v>
      </c>
      <c r="G28">
        <v>33.064920749999999</v>
      </c>
      <c r="H28">
        <v>25.9</v>
      </c>
      <c r="I28">
        <v>0.50771765800000002</v>
      </c>
      <c r="J28">
        <v>8.3945500000000006</v>
      </c>
      <c r="K28">
        <v>0</v>
      </c>
      <c r="L28">
        <v>-9.1972123000000003E-2</v>
      </c>
      <c r="M28">
        <v>26.894549999999999</v>
      </c>
      <c r="N28">
        <v>195900.9</v>
      </c>
      <c r="O28">
        <v>208616.5</v>
      </c>
      <c r="P28" s="2">
        <v>2519469</v>
      </c>
      <c r="Q28">
        <v>200041.7</v>
      </c>
      <c r="R28" s="2">
        <v>2927233</v>
      </c>
      <c r="S28" s="3">
        <v>13831137</v>
      </c>
      <c r="T28">
        <v>800.12689999999998</v>
      </c>
      <c r="U28">
        <v>1538086.753</v>
      </c>
      <c r="V28">
        <f t="shared" si="0"/>
        <v>800126.9</v>
      </c>
      <c r="W28">
        <f t="shared" si="1"/>
        <v>52.020921345260426</v>
      </c>
      <c r="X28">
        <v>2.100079</v>
      </c>
    </row>
    <row r="29" spans="1:24" x14ac:dyDescent="0.2">
      <c r="A29" t="s">
        <v>27</v>
      </c>
      <c r="B29">
        <v>5.77</v>
      </c>
      <c r="C29">
        <v>63.2536113368852</v>
      </c>
      <c r="D29">
        <v>5.9015684789853102</v>
      </c>
      <c r="E29">
        <v>-0.36</v>
      </c>
      <c r="F29">
        <v>0.22</v>
      </c>
      <c r="G29">
        <v>22.720841220000001</v>
      </c>
      <c r="H29">
        <v>11.5</v>
      </c>
      <c r="I29">
        <v>0.50358767299999996</v>
      </c>
      <c r="J29">
        <v>11.593439999999999</v>
      </c>
      <c r="K29">
        <v>0</v>
      </c>
      <c r="L29">
        <v>-4.5646641000000002E-2</v>
      </c>
      <c r="M29">
        <v>29.49344</v>
      </c>
      <c r="N29">
        <v>199722.9</v>
      </c>
      <c r="O29">
        <v>208980</v>
      </c>
      <c r="P29" s="2">
        <v>2588107</v>
      </c>
      <c r="Q29">
        <v>202072.3</v>
      </c>
      <c r="R29" s="2">
        <v>2983994</v>
      </c>
      <c r="S29" s="3">
        <v>13924383</v>
      </c>
      <c r="T29">
        <v>815.99109999999996</v>
      </c>
      <c r="U29">
        <v>1552323.226</v>
      </c>
      <c r="V29">
        <f t="shared" si="0"/>
        <v>815991.1</v>
      </c>
      <c r="W29">
        <f t="shared" si="1"/>
        <v>52.565798561336472</v>
      </c>
      <c r="X29">
        <v>1.9441630000000001</v>
      </c>
    </row>
    <row r="30" spans="1:24" x14ac:dyDescent="0.2">
      <c r="A30" t="s">
        <v>28</v>
      </c>
      <c r="B30">
        <v>6.32</v>
      </c>
      <c r="C30">
        <v>64.543828069024798</v>
      </c>
      <c r="D30">
        <v>7.4198912402494699</v>
      </c>
      <c r="E30">
        <v>-0.26</v>
      </c>
      <c r="F30">
        <v>0.43</v>
      </c>
      <c r="G30">
        <v>23.82899325</v>
      </c>
      <c r="H30">
        <v>17.3</v>
      </c>
      <c r="I30">
        <v>0.49946828900000001</v>
      </c>
      <c r="J30">
        <v>9.5715299999999903</v>
      </c>
      <c r="K30">
        <v>0</v>
      </c>
      <c r="L30">
        <v>-2.9262020999999999E-2</v>
      </c>
      <c r="M30">
        <v>27.87153</v>
      </c>
      <c r="N30">
        <v>208135.3</v>
      </c>
      <c r="O30">
        <v>221101.1</v>
      </c>
      <c r="P30" s="2">
        <v>2591828</v>
      </c>
      <c r="Q30">
        <v>203868.7</v>
      </c>
      <c r="R30" s="2">
        <v>2973474</v>
      </c>
      <c r="S30" s="3">
        <v>14080968</v>
      </c>
      <c r="T30">
        <v>843.18960000000004</v>
      </c>
      <c r="U30">
        <v>1566585.575</v>
      </c>
      <c r="V30">
        <f t="shared" si="0"/>
        <v>843189.60000000009</v>
      </c>
      <c r="W30">
        <f t="shared" si="1"/>
        <v>53.82339869942949</v>
      </c>
      <c r="X30">
        <v>3.2256680000000002</v>
      </c>
    </row>
    <row r="31" spans="1:24" x14ac:dyDescent="0.2">
      <c r="A31" t="s">
        <v>29</v>
      </c>
      <c r="B31">
        <v>5.4</v>
      </c>
      <c r="C31">
        <v>64.923343378740796</v>
      </c>
      <c r="D31">
        <v>3.31800075534415</v>
      </c>
      <c r="E31">
        <v>-0.32</v>
      </c>
      <c r="F31">
        <v>0.98</v>
      </c>
      <c r="G31">
        <v>29.581420980000001</v>
      </c>
      <c r="H31">
        <v>6.3</v>
      </c>
      <c r="I31">
        <v>0.56784005000000004</v>
      </c>
      <c r="J31">
        <v>7.4585499999999998</v>
      </c>
      <c r="K31">
        <v>0</v>
      </c>
      <c r="L31">
        <v>-2.1227817999999999E-2</v>
      </c>
      <c r="M31">
        <v>26.858550000000001</v>
      </c>
      <c r="N31">
        <v>208281</v>
      </c>
      <c r="O31">
        <v>203335.9</v>
      </c>
      <c r="P31" s="2">
        <v>2740797</v>
      </c>
      <c r="Q31">
        <v>205972.8</v>
      </c>
      <c r="R31" s="2">
        <v>3086275</v>
      </c>
      <c r="S31" s="3">
        <v>14117014</v>
      </c>
      <c r="T31">
        <v>855.51459999999997</v>
      </c>
      <c r="U31">
        <v>1580836.5630000001</v>
      </c>
      <c r="V31">
        <f t="shared" si="0"/>
        <v>855514.6</v>
      </c>
      <c r="W31">
        <f t="shared" si="1"/>
        <v>54.117839884501706</v>
      </c>
      <c r="X31">
        <v>1.440653</v>
      </c>
    </row>
    <row r="32" spans="1:24" x14ac:dyDescent="0.2">
      <c r="A32" t="s">
        <v>30</v>
      </c>
      <c r="B32">
        <v>3.84</v>
      </c>
      <c r="C32">
        <v>66.081554531013893</v>
      </c>
      <c r="D32">
        <v>6.8968176544070996</v>
      </c>
      <c r="E32">
        <v>-0.09</v>
      </c>
      <c r="F32">
        <v>1.35</v>
      </c>
      <c r="G32">
        <v>18.602239919999999</v>
      </c>
      <c r="H32">
        <v>15.4</v>
      </c>
      <c r="I32">
        <v>0.63604148900000002</v>
      </c>
      <c r="J32">
        <v>4.19862</v>
      </c>
      <c r="K32">
        <v>0</v>
      </c>
      <c r="L32">
        <v>-7.0544299000000005E-2</v>
      </c>
      <c r="M32">
        <v>23.898620000000001</v>
      </c>
      <c r="N32">
        <v>202816.4</v>
      </c>
      <c r="O32">
        <v>212821.8</v>
      </c>
      <c r="P32" s="2">
        <v>2643849</v>
      </c>
      <c r="Q32">
        <v>207435.2</v>
      </c>
      <c r="R32" s="2">
        <v>2954120</v>
      </c>
      <c r="S32" s="3">
        <v>14540467</v>
      </c>
      <c r="T32">
        <v>877.17819999999995</v>
      </c>
      <c r="U32">
        <v>1595045.709</v>
      </c>
      <c r="V32">
        <f t="shared" si="0"/>
        <v>877178.2</v>
      </c>
      <c r="W32">
        <f t="shared" si="1"/>
        <v>54.99392243435701</v>
      </c>
      <c r="X32">
        <v>2.4696920000000002</v>
      </c>
    </row>
    <row r="33" spans="1:24" x14ac:dyDescent="0.2">
      <c r="A33" t="s">
        <v>31</v>
      </c>
      <c r="B33">
        <v>3.11</v>
      </c>
      <c r="C33">
        <v>66.688576141613694</v>
      </c>
      <c r="D33">
        <v>4.5313646147583899</v>
      </c>
      <c r="E33">
        <v>-0.19</v>
      </c>
      <c r="F33">
        <v>1.1000000000000001</v>
      </c>
      <c r="G33">
        <v>21.439705740000001</v>
      </c>
      <c r="H33">
        <v>1.7</v>
      </c>
      <c r="I33">
        <v>0.70407324100000002</v>
      </c>
      <c r="J33">
        <v>4.0248499999999998</v>
      </c>
      <c r="K33">
        <v>0</v>
      </c>
      <c r="L33">
        <v>-8.1757066000000003E-2</v>
      </c>
      <c r="M33">
        <v>23.424849999999999</v>
      </c>
      <c r="N33">
        <v>204987.4</v>
      </c>
      <c r="O33">
        <v>211703.6</v>
      </c>
      <c r="P33" s="2">
        <v>2744439</v>
      </c>
      <c r="Q33">
        <v>207148.7</v>
      </c>
      <c r="R33" s="2">
        <v>3033333</v>
      </c>
      <c r="S33" s="3">
        <v>14610464</v>
      </c>
      <c r="T33">
        <v>891.27160000000003</v>
      </c>
      <c r="U33">
        <v>1609192.477</v>
      </c>
      <c r="V33">
        <f t="shared" si="0"/>
        <v>891271.60000000009</v>
      </c>
      <c r="W33">
        <f t="shared" si="1"/>
        <v>55.386264398997689</v>
      </c>
      <c r="X33">
        <v>1.581269</v>
      </c>
    </row>
    <row r="34" spans="1:24" x14ac:dyDescent="0.2">
      <c r="A34" t="s">
        <v>32</v>
      </c>
      <c r="B34">
        <v>2.57</v>
      </c>
      <c r="C34">
        <v>67.993984061088895</v>
      </c>
      <c r="D34">
        <v>7.48638092009912</v>
      </c>
      <c r="E34">
        <v>-0.01</v>
      </c>
      <c r="F34">
        <v>0.86</v>
      </c>
      <c r="G34">
        <v>9.0279952859999995</v>
      </c>
      <c r="H34">
        <v>3.3</v>
      </c>
      <c r="I34">
        <v>0.77193593900000002</v>
      </c>
      <c r="J34">
        <v>4.3290300000000004</v>
      </c>
      <c r="K34">
        <v>0</v>
      </c>
      <c r="L34">
        <v>1.0242283E-2</v>
      </c>
      <c r="M34">
        <v>20.029029999999999</v>
      </c>
      <c r="N34">
        <v>212210.1</v>
      </c>
      <c r="O34">
        <v>222800</v>
      </c>
      <c r="P34" s="2">
        <v>2777186</v>
      </c>
      <c r="Q34">
        <v>207738.1</v>
      </c>
      <c r="R34" s="2">
        <v>3064650</v>
      </c>
      <c r="S34" s="3">
        <v>14672033</v>
      </c>
      <c r="T34">
        <v>916.16219999999998</v>
      </c>
      <c r="U34">
        <v>1623267.213</v>
      </c>
      <c r="V34">
        <f t="shared" si="0"/>
        <v>916162.2</v>
      </c>
      <c r="W34">
        <f t="shared" si="1"/>
        <v>56.439395354189294</v>
      </c>
      <c r="X34">
        <v>2.7168329999999998</v>
      </c>
    </row>
    <row r="35" spans="1:24" x14ac:dyDescent="0.2">
      <c r="A35" t="s">
        <v>33</v>
      </c>
      <c r="B35">
        <v>2.5299999999999998</v>
      </c>
      <c r="C35">
        <v>67.814953094338193</v>
      </c>
      <c r="D35">
        <v>1.60212252807496</v>
      </c>
      <c r="E35">
        <v>0.04</v>
      </c>
      <c r="F35">
        <v>0.3</v>
      </c>
      <c r="G35">
        <v>2.947333897</v>
      </c>
      <c r="H35">
        <v>5.0999999999999996</v>
      </c>
      <c r="I35">
        <v>0.71037275300000002</v>
      </c>
      <c r="J35">
        <v>7.2067199999999998</v>
      </c>
      <c r="K35">
        <v>0</v>
      </c>
      <c r="L35">
        <v>9.8607160000000003E-3</v>
      </c>
      <c r="M35">
        <v>19.506720000000001</v>
      </c>
      <c r="N35">
        <v>211057.9</v>
      </c>
      <c r="O35">
        <v>207631.4</v>
      </c>
      <c r="P35" s="2">
        <v>2887406</v>
      </c>
      <c r="Q35">
        <v>208735.4</v>
      </c>
      <c r="R35" s="2">
        <v>3156291</v>
      </c>
      <c r="S35" s="3">
        <v>14669263</v>
      </c>
      <c r="T35">
        <v>916.47230000000002</v>
      </c>
      <c r="U35">
        <v>1637270.247</v>
      </c>
      <c r="V35">
        <f t="shared" si="0"/>
        <v>916472.3</v>
      </c>
      <c r="W35">
        <f t="shared" si="1"/>
        <v>55.975627828042981</v>
      </c>
      <c r="X35">
        <v>3.3835999999999998E-2</v>
      </c>
    </row>
    <row r="36" spans="1:24" x14ac:dyDescent="0.2">
      <c r="A36" t="s">
        <v>34</v>
      </c>
      <c r="B36">
        <v>2.56</v>
      </c>
      <c r="C36">
        <v>68.020125332494601</v>
      </c>
      <c r="D36">
        <v>3.0731122423375901</v>
      </c>
      <c r="E36">
        <v>-0.13</v>
      </c>
      <c r="F36">
        <v>-0.06</v>
      </c>
      <c r="G36">
        <v>-1.7357259</v>
      </c>
      <c r="H36">
        <v>-3.6</v>
      </c>
      <c r="I36">
        <v>0.64904626799999998</v>
      </c>
      <c r="J36">
        <v>6.5174799999999902</v>
      </c>
      <c r="K36">
        <v>0</v>
      </c>
      <c r="L36">
        <v>6.3872236999999998E-2</v>
      </c>
      <c r="M36">
        <v>16.917480000000001</v>
      </c>
      <c r="N36">
        <v>204005.6</v>
      </c>
      <c r="O36">
        <v>217372</v>
      </c>
      <c r="P36" s="2">
        <v>2814837</v>
      </c>
      <c r="Q36">
        <v>209143.1</v>
      </c>
      <c r="R36" s="2">
        <v>3070586</v>
      </c>
      <c r="S36" s="3">
        <v>15011849</v>
      </c>
      <c r="T36">
        <v>928.5616</v>
      </c>
      <c r="U36">
        <v>1651209.469</v>
      </c>
      <c r="V36">
        <f t="shared" si="0"/>
        <v>928561.6</v>
      </c>
      <c r="W36">
        <f t="shared" si="1"/>
        <v>56.235239527929323</v>
      </c>
      <c r="X36">
        <v>1.301938</v>
      </c>
    </row>
    <row r="37" spans="1:24" x14ac:dyDescent="0.2">
      <c r="A37" t="s">
        <v>35</v>
      </c>
      <c r="B37">
        <v>2.4500000000000002</v>
      </c>
      <c r="C37">
        <v>68.250074040362094</v>
      </c>
      <c r="D37">
        <v>3.2350119520827598</v>
      </c>
      <c r="E37">
        <v>-0.18</v>
      </c>
      <c r="F37">
        <v>-0.31</v>
      </c>
      <c r="G37">
        <v>-5.7540229250000001</v>
      </c>
      <c r="H37">
        <v>-2.9</v>
      </c>
      <c r="I37">
        <v>0.58795512100000002</v>
      </c>
      <c r="J37">
        <v>3.8939900000000001</v>
      </c>
      <c r="K37">
        <v>0</v>
      </c>
      <c r="L37">
        <v>4.4370677999999997E-2</v>
      </c>
      <c r="M37">
        <v>12.99399</v>
      </c>
      <c r="N37">
        <v>209008.6</v>
      </c>
      <c r="O37">
        <v>216008.3</v>
      </c>
      <c r="P37" s="2">
        <v>2917027</v>
      </c>
      <c r="Q37">
        <v>210948.4</v>
      </c>
      <c r="R37" s="2">
        <v>3172992</v>
      </c>
      <c r="S37" s="3">
        <v>15041977</v>
      </c>
      <c r="T37">
        <v>940.74559999999997</v>
      </c>
      <c r="U37">
        <v>1665097.4609999999</v>
      </c>
      <c r="V37">
        <f t="shared" si="0"/>
        <v>940745.6</v>
      </c>
      <c r="W37">
        <f t="shared" si="1"/>
        <v>56.49793012326262</v>
      </c>
      <c r="X37">
        <v>1.2951429999999999</v>
      </c>
    </row>
    <row r="38" spans="1:24" x14ac:dyDescent="0.2">
      <c r="A38" t="s">
        <v>36</v>
      </c>
      <c r="B38">
        <v>2.65</v>
      </c>
      <c r="C38">
        <v>68.857209926987395</v>
      </c>
      <c r="D38">
        <v>4.7726366158559497</v>
      </c>
      <c r="E38">
        <v>-0.35</v>
      </c>
      <c r="F38">
        <v>-0.59</v>
      </c>
      <c r="G38">
        <v>-0.42849957399999999</v>
      </c>
      <c r="H38">
        <v>-8.6</v>
      </c>
      <c r="I38">
        <v>0.52709795999999998</v>
      </c>
      <c r="J38">
        <v>3.2013799999999999</v>
      </c>
      <c r="K38">
        <v>0</v>
      </c>
      <c r="L38">
        <v>-4.7589498000000001E-2</v>
      </c>
      <c r="M38">
        <v>13.20138</v>
      </c>
      <c r="N38">
        <v>216081.9</v>
      </c>
      <c r="O38">
        <v>227773</v>
      </c>
      <c r="P38" s="2">
        <v>2930575</v>
      </c>
      <c r="Q38">
        <v>211327.1</v>
      </c>
      <c r="R38" s="2">
        <v>3179360</v>
      </c>
      <c r="S38" s="3">
        <v>15063047</v>
      </c>
      <c r="T38">
        <v>963.7944</v>
      </c>
      <c r="U38">
        <v>1678949.7439999999</v>
      </c>
      <c r="V38">
        <f t="shared" si="0"/>
        <v>963794.4</v>
      </c>
      <c r="W38">
        <f t="shared" si="1"/>
        <v>57.404600908649947</v>
      </c>
      <c r="X38">
        <v>2.391464</v>
      </c>
    </row>
    <row r="39" spans="1:24" x14ac:dyDescent="0.2">
      <c r="A39" t="s">
        <v>37</v>
      </c>
      <c r="B39">
        <v>2.33</v>
      </c>
      <c r="C39">
        <v>68.300229377532403</v>
      </c>
      <c r="D39">
        <v>0.15520103464253701</v>
      </c>
      <c r="E39">
        <v>-0.44</v>
      </c>
      <c r="F39">
        <v>-0.54</v>
      </c>
      <c r="G39">
        <v>0.34950220900000001</v>
      </c>
      <c r="H39">
        <v>-7.6</v>
      </c>
      <c r="I39">
        <v>0.50931762700000005</v>
      </c>
      <c r="J39">
        <v>2.96157</v>
      </c>
      <c r="K39">
        <v>0</v>
      </c>
      <c r="L39">
        <v>-3.9040023E-2</v>
      </c>
      <c r="M39">
        <v>13.261570000000001</v>
      </c>
      <c r="N39">
        <v>212812.7</v>
      </c>
      <c r="O39">
        <v>212331.1</v>
      </c>
      <c r="P39" s="2">
        <v>2944563</v>
      </c>
      <c r="Q39">
        <v>210575</v>
      </c>
      <c r="R39" s="2">
        <v>3169400</v>
      </c>
      <c r="S39" s="3">
        <v>14910447</v>
      </c>
      <c r="T39">
        <v>962.87490000000003</v>
      </c>
      <c r="U39">
        <v>1692782.675</v>
      </c>
      <c r="V39">
        <f t="shared" si="0"/>
        <v>962874.9</v>
      </c>
      <c r="W39">
        <f t="shared" si="1"/>
        <v>56.88118824821975</v>
      </c>
      <c r="X39">
        <v>-9.5500000000000002E-2</v>
      </c>
    </row>
    <row r="40" spans="1:24" x14ac:dyDescent="0.2">
      <c r="A40" t="s">
        <v>38</v>
      </c>
      <c r="B40">
        <v>3.05</v>
      </c>
      <c r="C40">
        <v>69.110994068551193</v>
      </c>
      <c r="D40">
        <v>4.4742438551456702</v>
      </c>
      <c r="E40">
        <v>-0.28000000000000003</v>
      </c>
      <c r="F40">
        <v>-0.71</v>
      </c>
      <c r="G40">
        <v>0.73271610700000001</v>
      </c>
      <c r="H40">
        <v>-5.8</v>
      </c>
      <c r="I40">
        <v>0.491584032</v>
      </c>
      <c r="J40">
        <v>5.8377100000000004</v>
      </c>
      <c r="K40">
        <v>0</v>
      </c>
      <c r="L40">
        <v>-2.5786173999999999E-2</v>
      </c>
      <c r="M40">
        <v>15.13771</v>
      </c>
      <c r="N40">
        <v>207058.3</v>
      </c>
      <c r="O40">
        <v>223865.1</v>
      </c>
      <c r="P40" s="2">
        <v>2866252</v>
      </c>
      <c r="Q40">
        <v>212596.6</v>
      </c>
      <c r="R40" s="2">
        <v>3089132</v>
      </c>
      <c r="S40" s="3">
        <v>15276999</v>
      </c>
      <c r="T40">
        <v>979.64189999999996</v>
      </c>
      <c r="U40">
        <v>1706611.0330000001</v>
      </c>
      <c r="V40">
        <f t="shared" si="0"/>
        <v>979641.89999999991</v>
      </c>
      <c r="W40">
        <f t="shared" si="1"/>
        <v>57.402763784898127</v>
      </c>
      <c r="X40">
        <v>1.711544</v>
      </c>
    </row>
    <row r="41" spans="1:24" x14ac:dyDescent="0.2">
      <c r="A41" t="s">
        <v>39</v>
      </c>
      <c r="B41">
        <v>3.69</v>
      </c>
      <c r="C41">
        <v>69.410442637651698</v>
      </c>
      <c r="D41">
        <v>3.4170117682635701</v>
      </c>
      <c r="E41">
        <v>-0.15</v>
      </c>
      <c r="F41">
        <v>-0.44</v>
      </c>
      <c r="G41">
        <v>2.753753959</v>
      </c>
      <c r="H41">
        <v>5.8</v>
      </c>
      <c r="I41">
        <v>0.47389698899999999</v>
      </c>
      <c r="J41">
        <v>8.3151499999999903</v>
      </c>
      <c r="K41">
        <v>0</v>
      </c>
      <c r="L41">
        <v>-2.1242782000000002E-2</v>
      </c>
      <c r="M41">
        <v>18.515149999999998</v>
      </c>
      <c r="N41">
        <v>212131.20000000001</v>
      </c>
      <c r="O41">
        <v>223833</v>
      </c>
      <c r="P41" s="2">
        <v>2989881</v>
      </c>
      <c r="Q41">
        <v>213846.39999999999</v>
      </c>
      <c r="R41" s="2">
        <v>3208406</v>
      </c>
      <c r="S41" s="3">
        <v>15312858</v>
      </c>
      <c r="T41">
        <v>993.61699999999996</v>
      </c>
      <c r="U41">
        <v>1720445.591</v>
      </c>
      <c r="V41">
        <f t="shared" si="0"/>
        <v>993617</v>
      </c>
      <c r="W41">
        <f t="shared" si="1"/>
        <v>57.753468357140271</v>
      </c>
      <c r="X41">
        <v>1.406488</v>
      </c>
    </row>
    <row r="42" spans="1:24" x14ac:dyDescent="0.2">
      <c r="A42" t="s">
        <v>40</v>
      </c>
      <c r="B42">
        <v>4.0199999999999996</v>
      </c>
      <c r="C42">
        <v>70.412933254802496</v>
      </c>
      <c r="D42">
        <v>6.3451063031735702</v>
      </c>
      <c r="E42">
        <v>-7.0000000000000007E-2</v>
      </c>
      <c r="F42">
        <v>-0.18</v>
      </c>
      <c r="G42">
        <v>4.7211357639999996</v>
      </c>
      <c r="H42">
        <v>9.1</v>
      </c>
      <c r="I42">
        <v>0.456256316</v>
      </c>
      <c r="J42">
        <v>9.5910799999999998</v>
      </c>
      <c r="K42">
        <v>0</v>
      </c>
      <c r="L42">
        <v>-2.6273044999999998E-2</v>
      </c>
      <c r="M42">
        <v>20.091080000000002</v>
      </c>
      <c r="N42">
        <v>220156.3</v>
      </c>
      <c r="O42">
        <v>236783.4</v>
      </c>
      <c r="P42" s="2">
        <v>2951549</v>
      </c>
      <c r="Q42">
        <v>215140.5</v>
      </c>
      <c r="R42" s="2">
        <v>3168257</v>
      </c>
      <c r="S42" s="3">
        <v>15488175</v>
      </c>
      <c r="T42">
        <v>1019.0405</v>
      </c>
      <c r="U42">
        <v>1734292.6129999999</v>
      </c>
      <c r="V42">
        <f t="shared" si="0"/>
        <v>1019040.5</v>
      </c>
      <c r="W42">
        <f t="shared" si="1"/>
        <v>58.758279448428929</v>
      </c>
      <c r="X42">
        <v>2.494847</v>
      </c>
    </row>
    <row r="43" spans="1:24" x14ac:dyDescent="0.2">
      <c r="A43" t="s">
        <v>41</v>
      </c>
      <c r="B43">
        <v>3.78</v>
      </c>
      <c r="C43">
        <v>70.267522206083896</v>
      </c>
      <c r="D43">
        <v>2.07788826349806</v>
      </c>
      <c r="E43">
        <v>3.7999999999999999E-2</v>
      </c>
      <c r="F43">
        <v>-0.18</v>
      </c>
      <c r="G43">
        <v>1.6391875090000001</v>
      </c>
      <c r="H43">
        <v>2.4</v>
      </c>
      <c r="I43">
        <v>0.49987252599999998</v>
      </c>
      <c r="J43">
        <v>8.6157299999999903</v>
      </c>
      <c r="K43">
        <v>0</v>
      </c>
      <c r="L43">
        <v>-1.4665917000000001E-2</v>
      </c>
      <c r="M43">
        <v>17.315729999999999</v>
      </c>
      <c r="N43">
        <v>218787.7</v>
      </c>
      <c r="O43">
        <v>221754.4</v>
      </c>
      <c r="P43" s="2">
        <v>3040495</v>
      </c>
      <c r="Q43">
        <v>216488.2</v>
      </c>
      <c r="R43" s="2">
        <v>3236153</v>
      </c>
      <c r="S43" s="3">
        <v>15477625</v>
      </c>
      <c r="T43">
        <v>1022.4462</v>
      </c>
      <c r="U43">
        <v>1748154.996</v>
      </c>
      <c r="V43">
        <f t="shared" si="0"/>
        <v>1022446.2</v>
      </c>
      <c r="W43">
        <f t="shared" si="1"/>
        <v>58.487159453222759</v>
      </c>
      <c r="X43">
        <v>0.33309299999999997</v>
      </c>
    </row>
    <row r="44" spans="1:24" x14ac:dyDescent="0.2">
      <c r="A44" t="s">
        <v>42</v>
      </c>
      <c r="B44">
        <v>3.58</v>
      </c>
      <c r="C44">
        <v>70.512938641874996</v>
      </c>
      <c r="D44">
        <v>3.3149631594676099</v>
      </c>
      <c r="E44">
        <v>5.5E-2</v>
      </c>
      <c r="F44">
        <v>0.02</v>
      </c>
      <c r="G44">
        <v>3.199195214</v>
      </c>
      <c r="H44">
        <v>5.6</v>
      </c>
      <c r="I44">
        <v>0.54338946099999996</v>
      </c>
      <c r="J44">
        <v>8.8648199999999999</v>
      </c>
      <c r="K44">
        <v>0</v>
      </c>
      <c r="L44">
        <v>-8.3006558999999897E-2</v>
      </c>
      <c r="M44">
        <v>17.864820000000002</v>
      </c>
      <c r="N44">
        <v>210927</v>
      </c>
      <c r="O44">
        <v>233347.5</v>
      </c>
      <c r="P44" s="2">
        <v>2893965</v>
      </c>
      <c r="Q44">
        <v>216815.8</v>
      </c>
      <c r="R44" s="2">
        <v>3069641</v>
      </c>
      <c r="S44" s="3">
        <v>15860371</v>
      </c>
      <c r="T44">
        <v>1035.8895</v>
      </c>
      <c r="U44">
        <v>1762033.9240000001</v>
      </c>
      <c r="V44">
        <f t="shared" si="0"/>
        <v>1035889.5</v>
      </c>
      <c r="W44">
        <f t="shared" si="1"/>
        <v>58.789418630966154</v>
      </c>
      <c r="X44">
        <v>1.2977540000000001</v>
      </c>
    </row>
    <row r="45" spans="1:24" x14ac:dyDescent="0.2">
      <c r="A45" t="s">
        <v>43</v>
      </c>
      <c r="B45">
        <v>2.97</v>
      </c>
      <c r="C45">
        <v>71.443899603000403</v>
      </c>
      <c r="D45">
        <v>5.8351587575281103</v>
      </c>
      <c r="E45">
        <v>-1.4999999999999999E-2</v>
      </c>
      <c r="F45">
        <v>-0.26</v>
      </c>
      <c r="G45">
        <v>3.6316514959999999</v>
      </c>
      <c r="H45">
        <v>6.1</v>
      </c>
      <c r="I45">
        <v>0.58680745999999995</v>
      </c>
      <c r="J45">
        <v>8.3760700000000003</v>
      </c>
      <c r="K45">
        <v>0</v>
      </c>
      <c r="L45">
        <v>-7.3518798999999996E-2</v>
      </c>
      <c r="M45">
        <v>17.076070000000001</v>
      </c>
      <c r="N45">
        <v>216360.8</v>
      </c>
      <c r="O45">
        <v>231934.2</v>
      </c>
      <c r="P45" s="2">
        <v>3044243</v>
      </c>
      <c r="Q45">
        <v>217822</v>
      </c>
      <c r="R45" s="2">
        <v>3222240</v>
      </c>
      <c r="S45" s="3">
        <v>15981497</v>
      </c>
      <c r="T45">
        <v>1056.4414999999999</v>
      </c>
      <c r="U45">
        <v>1775930.4950000001</v>
      </c>
      <c r="V45">
        <f t="shared" si="0"/>
        <v>1056441.5</v>
      </c>
      <c r="W45">
        <f t="shared" si="1"/>
        <v>59.486646745147532</v>
      </c>
      <c r="X45">
        <v>1.9453990000000001</v>
      </c>
    </row>
    <row r="46" spans="1:24" x14ac:dyDescent="0.2">
      <c r="A46" t="s">
        <v>44</v>
      </c>
      <c r="B46">
        <v>2.59</v>
      </c>
      <c r="C46">
        <v>72.414304297825197</v>
      </c>
      <c r="D46">
        <v>6.2134821562896301</v>
      </c>
      <c r="E46">
        <v>-9.6000000000000002E-2</v>
      </c>
      <c r="F46">
        <v>-0.51</v>
      </c>
      <c r="G46">
        <v>0.90895303000000005</v>
      </c>
      <c r="H46">
        <v>1.6</v>
      </c>
      <c r="I46">
        <v>0.63012685999999996</v>
      </c>
      <c r="J46">
        <v>8.7065699999999993</v>
      </c>
      <c r="K46">
        <v>0</v>
      </c>
      <c r="L46">
        <v>2.3457232000000001E-2</v>
      </c>
      <c r="M46">
        <v>16.50657</v>
      </c>
      <c r="N46">
        <v>223988.7</v>
      </c>
      <c r="O46">
        <v>244453.2</v>
      </c>
      <c r="P46" s="2">
        <v>3007284</v>
      </c>
      <c r="Q46">
        <v>218938.2</v>
      </c>
      <c r="R46" s="2">
        <v>3196688</v>
      </c>
      <c r="S46" s="3">
        <v>16131663</v>
      </c>
      <c r="T46">
        <v>1085.2592</v>
      </c>
      <c r="U46">
        <v>1789846.6510000001</v>
      </c>
      <c r="V46">
        <f t="shared" si="0"/>
        <v>1085259.2</v>
      </c>
      <c r="W46">
        <f t="shared" si="1"/>
        <v>60.634200108353298</v>
      </c>
      <c r="X46">
        <v>2.6553749999999998</v>
      </c>
    </row>
    <row r="47" spans="1:24" x14ac:dyDescent="0.2">
      <c r="A47" t="s">
        <v>45</v>
      </c>
      <c r="B47">
        <v>2.66</v>
      </c>
      <c r="C47">
        <v>72.756138522427605</v>
      </c>
      <c r="D47">
        <v>3.47356066457409</v>
      </c>
      <c r="E47">
        <v>-0.14199999999999999</v>
      </c>
      <c r="F47">
        <v>-0.79</v>
      </c>
      <c r="G47">
        <v>-3.006787493</v>
      </c>
      <c r="H47">
        <v>3.7</v>
      </c>
      <c r="I47">
        <v>0.60464575399999998</v>
      </c>
      <c r="J47">
        <v>11.43186</v>
      </c>
      <c r="K47">
        <v>0</v>
      </c>
      <c r="L47">
        <v>2.9572079000000001E-2</v>
      </c>
      <c r="M47">
        <v>18.831859999999999</v>
      </c>
      <c r="N47">
        <v>223038.8</v>
      </c>
      <c r="O47">
        <v>234749.5</v>
      </c>
      <c r="P47" s="2">
        <v>3098869</v>
      </c>
      <c r="Q47">
        <v>220868.1</v>
      </c>
      <c r="R47" s="2">
        <v>3275449</v>
      </c>
      <c r="S47" s="3">
        <v>16160126</v>
      </c>
      <c r="T47">
        <v>1098.3050000000001</v>
      </c>
      <c r="U47">
        <v>1803784.7069999999</v>
      </c>
      <c r="V47">
        <f t="shared" si="0"/>
        <v>1098305</v>
      </c>
      <c r="W47">
        <f t="shared" si="1"/>
        <v>60.888918491091303</v>
      </c>
      <c r="X47">
        <v>1.1878120000000001</v>
      </c>
    </row>
    <row r="48" spans="1:24" x14ac:dyDescent="0.2">
      <c r="A48" t="s">
        <v>46</v>
      </c>
      <c r="B48">
        <v>1.93</v>
      </c>
      <c r="C48">
        <v>74.118676657126599</v>
      </c>
      <c r="D48">
        <v>7.8593536434764397</v>
      </c>
      <c r="E48">
        <v>-0.183</v>
      </c>
      <c r="F48">
        <v>-1.03</v>
      </c>
      <c r="G48">
        <v>-7.2550396319999999</v>
      </c>
      <c r="H48">
        <v>2.7</v>
      </c>
      <c r="I48">
        <v>0.57924467800000001</v>
      </c>
      <c r="J48">
        <v>11.65025</v>
      </c>
      <c r="K48">
        <v>0</v>
      </c>
      <c r="L48">
        <v>6.6009680000000001E-2</v>
      </c>
      <c r="M48">
        <v>19.350249999999999</v>
      </c>
      <c r="N48">
        <v>215593.9</v>
      </c>
      <c r="O48">
        <v>245253.9</v>
      </c>
      <c r="P48" s="2">
        <v>2956427</v>
      </c>
      <c r="Q48">
        <v>221627.4</v>
      </c>
      <c r="R48" s="2">
        <v>3118331</v>
      </c>
      <c r="S48" s="3">
        <v>16548138</v>
      </c>
      <c r="T48">
        <v>1131.5355</v>
      </c>
      <c r="U48">
        <v>1817745.352</v>
      </c>
      <c r="V48">
        <f t="shared" si="0"/>
        <v>1131535.5</v>
      </c>
      <c r="W48">
        <f t="shared" si="1"/>
        <v>62.249395865873737</v>
      </c>
      <c r="X48">
        <v>2.9367619999999999</v>
      </c>
    </row>
    <row r="49" spans="1:24" x14ac:dyDescent="0.2">
      <c r="A49" t="s">
        <v>47</v>
      </c>
      <c r="B49">
        <v>3.46</v>
      </c>
      <c r="C49">
        <v>75.653364002555904</v>
      </c>
      <c r="D49">
        <v>8.2893783810180697</v>
      </c>
      <c r="E49">
        <v>-0.14199999999999999</v>
      </c>
      <c r="F49">
        <v>-0.8</v>
      </c>
      <c r="G49">
        <v>-9.5398961670000002</v>
      </c>
      <c r="H49">
        <v>5</v>
      </c>
      <c r="I49">
        <v>0.55392325399999998</v>
      </c>
      <c r="J49">
        <v>11.08066</v>
      </c>
      <c r="K49">
        <v>0</v>
      </c>
      <c r="L49">
        <v>0.138502132</v>
      </c>
      <c r="M49">
        <v>17.780660000000001</v>
      </c>
      <c r="N49">
        <v>221343.4</v>
      </c>
      <c r="O49">
        <v>247431.4</v>
      </c>
      <c r="P49" s="2">
        <v>3048607</v>
      </c>
      <c r="Q49">
        <v>222646.39999999999</v>
      </c>
      <c r="R49" s="2">
        <v>3206157</v>
      </c>
      <c r="S49" s="3">
        <v>16726527</v>
      </c>
      <c r="T49">
        <v>1164.8951999999999</v>
      </c>
      <c r="U49">
        <v>1831726.61</v>
      </c>
      <c r="V49">
        <f t="shared" si="0"/>
        <v>1164895.2</v>
      </c>
      <c r="W49">
        <f t="shared" si="1"/>
        <v>63.595472907389819</v>
      </c>
      <c r="X49">
        <v>2.8637510000000002</v>
      </c>
    </row>
    <row r="50" spans="1:24" x14ac:dyDescent="0.2">
      <c r="A50" t="s">
        <v>48</v>
      </c>
      <c r="B50">
        <v>3.59</v>
      </c>
      <c r="C50">
        <v>77.101051826411407</v>
      </c>
      <c r="D50">
        <v>8.2211929521184199</v>
      </c>
      <c r="E50">
        <v>4.2000000000000003E-2</v>
      </c>
      <c r="F50">
        <v>-0.56000000000000005</v>
      </c>
      <c r="G50">
        <v>-11.97071775</v>
      </c>
      <c r="H50">
        <v>6.7</v>
      </c>
      <c r="I50">
        <v>0.52868110999999995</v>
      </c>
      <c r="J50">
        <v>9.7634399999999903</v>
      </c>
      <c r="K50">
        <v>0</v>
      </c>
      <c r="L50">
        <v>6.4338794000000005E-2</v>
      </c>
      <c r="M50">
        <v>16.263439999999999</v>
      </c>
      <c r="N50">
        <v>232110.4</v>
      </c>
      <c r="O50">
        <v>261119.3</v>
      </c>
      <c r="P50" s="2">
        <v>3007677</v>
      </c>
      <c r="Q50">
        <v>226944.5</v>
      </c>
      <c r="R50" s="2">
        <v>3167943</v>
      </c>
      <c r="S50" s="3">
        <v>17006422</v>
      </c>
      <c r="T50">
        <v>1203.0992000000001</v>
      </c>
      <c r="U50">
        <v>1845720.4750000001</v>
      </c>
      <c r="V50">
        <f t="shared" si="0"/>
        <v>1203099.2000000002</v>
      </c>
      <c r="W50">
        <f t="shared" si="1"/>
        <v>65.183174608278648</v>
      </c>
      <c r="X50">
        <v>3.175465</v>
      </c>
    </row>
    <row r="51" spans="1:24" x14ac:dyDescent="0.2">
      <c r="A51" t="s">
        <v>49</v>
      </c>
      <c r="B51">
        <v>3</v>
      </c>
      <c r="C51">
        <v>77.696433334204897</v>
      </c>
      <c r="D51">
        <v>4.70283563484469</v>
      </c>
      <c r="E51">
        <v>0.188</v>
      </c>
      <c r="F51">
        <v>-0.5</v>
      </c>
      <c r="G51">
        <v>-13.65282914</v>
      </c>
      <c r="H51">
        <v>2.9</v>
      </c>
      <c r="I51">
        <v>0.49579118700000002</v>
      </c>
      <c r="J51">
        <v>7.5627700000000004</v>
      </c>
      <c r="K51">
        <v>0</v>
      </c>
      <c r="L51">
        <v>8.9173824999999998E-2</v>
      </c>
      <c r="M51">
        <v>15.06277</v>
      </c>
      <c r="N51">
        <v>228414.2</v>
      </c>
      <c r="O51">
        <v>238508.2</v>
      </c>
      <c r="P51" s="2">
        <v>3098610</v>
      </c>
      <c r="Q51">
        <v>226506.7</v>
      </c>
      <c r="R51" s="2">
        <v>3247270</v>
      </c>
      <c r="S51" s="3">
        <v>16968569</v>
      </c>
      <c r="T51">
        <v>1223.6539</v>
      </c>
      <c r="U51">
        <v>1859713.9380000001</v>
      </c>
      <c r="V51">
        <f t="shared" si="0"/>
        <v>1223653.8999999999</v>
      </c>
      <c r="W51">
        <f t="shared" si="1"/>
        <v>65.797963600571777</v>
      </c>
      <c r="X51">
        <v>1.679781</v>
      </c>
    </row>
    <row r="52" spans="1:24" x14ac:dyDescent="0.2">
      <c r="A52" t="s">
        <v>50</v>
      </c>
      <c r="B52">
        <v>3.85</v>
      </c>
      <c r="C52">
        <v>79.023002259201505</v>
      </c>
      <c r="D52">
        <v>7.5185721236039402</v>
      </c>
      <c r="E52">
        <v>0.219</v>
      </c>
      <c r="F52">
        <v>-0.5</v>
      </c>
      <c r="G52">
        <v>-6.7202692239999999</v>
      </c>
      <c r="H52">
        <v>10.9</v>
      </c>
      <c r="I52">
        <v>0.46298797600000002</v>
      </c>
      <c r="J52">
        <v>5.9318099999999996</v>
      </c>
      <c r="K52">
        <v>0</v>
      </c>
      <c r="L52">
        <v>5.9068613999999998E-2</v>
      </c>
      <c r="M52">
        <v>13.53181</v>
      </c>
      <c r="N52">
        <v>222040.1</v>
      </c>
      <c r="O52">
        <v>251240.5</v>
      </c>
      <c r="P52" s="2">
        <v>2963236</v>
      </c>
      <c r="Q52">
        <v>228084.5</v>
      </c>
      <c r="R52" s="2">
        <v>3099457</v>
      </c>
      <c r="S52" s="3">
        <v>17237472</v>
      </c>
      <c r="T52">
        <v>1257.5832</v>
      </c>
      <c r="U52">
        <v>1873690.0109999999</v>
      </c>
      <c r="V52">
        <f t="shared" si="0"/>
        <v>1257583.2</v>
      </c>
      <c r="W52">
        <f t="shared" si="1"/>
        <v>67.117996713278089</v>
      </c>
      <c r="X52">
        <v>2.6979769999999998</v>
      </c>
    </row>
    <row r="53" spans="1:24" x14ac:dyDescent="0.2">
      <c r="A53" t="s">
        <v>51</v>
      </c>
      <c r="B53">
        <v>3</v>
      </c>
      <c r="C53">
        <v>80.416098043199796</v>
      </c>
      <c r="D53">
        <v>7.8588011303617504</v>
      </c>
      <c r="E53">
        <v>0.158</v>
      </c>
      <c r="F53">
        <v>-0.51</v>
      </c>
      <c r="G53">
        <v>-4.9773401990000004</v>
      </c>
      <c r="H53">
        <v>7.7</v>
      </c>
      <c r="I53">
        <v>0.43027113500000003</v>
      </c>
      <c r="J53">
        <v>5.8656799999999896</v>
      </c>
      <c r="K53">
        <v>0</v>
      </c>
      <c r="L53">
        <v>-4.2922749000000003E-2</v>
      </c>
      <c r="M53">
        <v>14.06568</v>
      </c>
      <c r="N53">
        <v>227918.4</v>
      </c>
      <c r="O53">
        <v>251388.1</v>
      </c>
      <c r="P53" s="2">
        <v>3033505</v>
      </c>
      <c r="Q53">
        <v>229043.5</v>
      </c>
      <c r="R53" s="2">
        <v>3166994</v>
      </c>
      <c r="S53" s="3">
        <v>17310067</v>
      </c>
      <c r="T53">
        <v>1296.4567</v>
      </c>
      <c r="U53">
        <v>1887627.8970000001</v>
      </c>
      <c r="V53">
        <f t="shared" si="0"/>
        <v>1296456.7</v>
      </c>
      <c r="W53">
        <f t="shared" si="1"/>
        <v>68.681793803771058</v>
      </c>
      <c r="X53">
        <v>2.9984419999999998</v>
      </c>
    </row>
    <row r="54" spans="1:24" x14ac:dyDescent="0.2">
      <c r="A54" t="s">
        <v>52</v>
      </c>
      <c r="B54">
        <v>2.85</v>
      </c>
      <c r="C54">
        <v>82.402986196354107</v>
      </c>
      <c r="D54">
        <v>10.167333333924701</v>
      </c>
      <c r="E54">
        <v>5.8000000000000003E-2</v>
      </c>
      <c r="F54">
        <v>-0.54</v>
      </c>
      <c r="G54">
        <v>1.803157342</v>
      </c>
      <c r="H54">
        <v>9.3000000000000007</v>
      </c>
      <c r="I54">
        <v>0.39764032300000002</v>
      </c>
      <c r="J54">
        <v>7.2530099999999997</v>
      </c>
      <c r="K54">
        <v>0</v>
      </c>
      <c r="L54">
        <v>2.206188E-3</v>
      </c>
      <c r="M54">
        <v>17.153009999999998</v>
      </c>
      <c r="N54">
        <v>234700.4</v>
      </c>
      <c r="O54">
        <v>264908.7</v>
      </c>
      <c r="P54" s="2">
        <v>2979819</v>
      </c>
      <c r="Q54">
        <v>229438.4</v>
      </c>
      <c r="R54" s="2">
        <v>3093698</v>
      </c>
      <c r="S54" s="3">
        <v>17447507</v>
      </c>
      <c r="T54">
        <v>1342.5268000000001</v>
      </c>
      <c r="U54">
        <v>1901505.118</v>
      </c>
      <c r="V54">
        <f t="shared" si="0"/>
        <v>1342526.8</v>
      </c>
      <c r="W54">
        <f t="shared" si="1"/>
        <v>70.603375572928655</v>
      </c>
      <c r="X54">
        <v>3.4315959999999999</v>
      </c>
    </row>
    <row r="55" spans="1:24" x14ac:dyDescent="0.2">
      <c r="A55" t="s">
        <v>53</v>
      </c>
      <c r="B55">
        <v>3.46</v>
      </c>
      <c r="C55">
        <v>82.760402969957994</v>
      </c>
      <c r="D55">
        <v>3.7645177942255201</v>
      </c>
      <c r="E55">
        <v>1E-3</v>
      </c>
      <c r="F55">
        <v>-0.59</v>
      </c>
      <c r="G55">
        <v>14.649115050000001</v>
      </c>
      <c r="H55">
        <v>17.600000000000001</v>
      </c>
      <c r="I55">
        <v>0.36848441100000001</v>
      </c>
      <c r="J55">
        <v>7.6024700000000003</v>
      </c>
      <c r="K55">
        <v>0</v>
      </c>
      <c r="L55">
        <v>-4.1186573999999997E-2</v>
      </c>
      <c r="M55">
        <v>19.60247</v>
      </c>
      <c r="N55">
        <v>232739.20000000001</v>
      </c>
      <c r="O55">
        <v>240750.6</v>
      </c>
      <c r="P55" s="2">
        <v>3112073</v>
      </c>
      <c r="Q55">
        <v>231138</v>
      </c>
      <c r="R55" s="2">
        <v>3191182</v>
      </c>
      <c r="S55" s="3">
        <v>17375062</v>
      </c>
      <c r="T55">
        <v>1358.9674</v>
      </c>
      <c r="U55">
        <v>1915297.7069999999</v>
      </c>
      <c r="V55">
        <f t="shared" si="0"/>
        <v>1358967.4</v>
      </c>
      <c r="W55">
        <f t="shared" si="1"/>
        <v>70.953324646777745</v>
      </c>
      <c r="X55">
        <v>1.209786</v>
      </c>
    </row>
    <row r="56" spans="1:24" x14ac:dyDescent="0.2">
      <c r="A56" t="s">
        <v>54</v>
      </c>
      <c r="B56">
        <v>3.01</v>
      </c>
      <c r="C56">
        <v>83.6648631272394</v>
      </c>
      <c r="D56">
        <v>6.3927070631682996</v>
      </c>
      <c r="E56">
        <v>6.5000000000000002E-2</v>
      </c>
      <c r="F56">
        <v>-0.57999999999999996</v>
      </c>
      <c r="G56">
        <v>16.67836466</v>
      </c>
      <c r="H56">
        <v>11.7</v>
      </c>
      <c r="I56">
        <v>0.33938635099999998</v>
      </c>
      <c r="J56">
        <v>9.1459299999999999</v>
      </c>
      <c r="K56">
        <v>0</v>
      </c>
      <c r="L56">
        <v>-2.7314596E-2</v>
      </c>
      <c r="M56">
        <v>20.445930000000001</v>
      </c>
      <c r="N56">
        <v>227799.7</v>
      </c>
      <c r="O56">
        <v>252480.4</v>
      </c>
      <c r="P56" s="2">
        <v>2940664</v>
      </c>
      <c r="Q56">
        <v>233754</v>
      </c>
      <c r="R56" s="2">
        <v>3017861</v>
      </c>
      <c r="S56" s="3">
        <v>17635907</v>
      </c>
      <c r="T56">
        <v>1387.7571</v>
      </c>
      <c r="U56">
        <v>1928979.1910000001</v>
      </c>
      <c r="V56">
        <f t="shared" si="0"/>
        <v>1387757.1</v>
      </c>
      <c r="W56">
        <f t="shared" si="1"/>
        <v>71.9425645685983</v>
      </c>
      <c r="X56">
        <v>2.0745490000000002</v>
      </c>
    </row>
    <row r="57" spans="1:24" x14ac:dyDescent="0.2">
      <c r="A57" t="s">
        <v>55</v>
      </c>
      <c r="B57">
        <v>4.0999999999999996</v>
      </c>
      <c r="C57">
        <v>85.100802312579503</v>
      </c>
      <c r="D57">
        <v>8.1270615952457899</v>
      </c>
      <c r="E57">
        <v>0.13100000000000001</v>
      </c>
      <c r="F57">
        <v>-0.76</v>
      </c>
      <c r="G57">
        <v>23.962123689999999</v>
      </c>
      <c r="H57">
        <v>10.4</v>
      </c>
      <c r="I57">
        <v>0.310345973</v>
      </c>
      <c r="J57">
        <v>10.919969999999999</v>
      </c>
      <c r="K57">
        <v>0</v>
      </c>
      <c r="L57">
        <v>1.0758452999999999E-2</v>
      </c>
      <c r="M57">
        <v>22.319970000000001</v>
      </c>
      <c r="N57">
        <v>235150.7</v>
      </c>
      <c r="O57">
        <v>255314.8</v>
      </c>
      <c r="P57" s="2">
        <v>3041234</v>
      </c>
      <c r="Q57">
        <v>236161</v>
      </c>
      <c r="R57" s="2">
        <v>3106153</v>
      </c>
      <c r="S57" s="3">
        <v>17664818</v>
      </c>
      <c r="T57">
        <v>1419.1083000000001</v>
      </c>
      <c r="U57">
        <v>1942522.5789999999</v>
      </c>
      <c r="V57">
        <f t="shared" si="0"/>
        <v>1419108.3</v>
      </c>
      <c r="W57">
        <f t="shared" si="1"/>
        <v>73.054919172705283</v>
      </c>
      <c r="X57">
        <v>2.2092179999999999</v>
      </c>
    </row>
    <row r="58" spans="1:24" x14ac:dyDescent="0.2">
      <c r="A58" t="s">
        <v>56</v>
      </c>
      <c r="B58">
        <v>3.17</v>
      </c>
      <c r="C58">
        <v>86.309128705036898</v>
      </c>
      <c r="D58">
        <v>7.07893553665917</v>
      </c>
      <c r="E58">
        <v>0.11899999999999999</v>
      </c>
      <c r="F58">
        <v>-0.5</v>
      </c>
      <c r="G58">
        <v>8.4444779390000004</v>
      </c>
      <c r="H58">
        <v>10.8</v>
      </c>
      <c r="I58">
        <v>0.281363103</v>
      </c>
      <c r="J58">
        <v>11.78213</v>
      </c>
      <c r="K58">
        <v>0</v>
      </c>
      <c r="L58">
        <v>-4.6124362000000002E-2</v>
      </c>
      <c r="M58">
        <v>23.082129999999999</v>
      </c>
      <c r="N58">
        <v>243109.6</v>
      </c>
      <c r="O58">
        <v>266648.8</v>
      </c>
      <c r="P58" s="2">
        <v>2971775</v>
      </c>
      <c r="Q58">
        <v>237746.1</v>
      </c>
      <c r="R58" s="2">
        <v>3041517</v>
      </c>
      <c r="S58" s="3">
        <v>17793744</v>
      </c>
      <c r="T58">
        <v>1450.6274000000001</v>
      </c>
      <c r="U58">
        <v>1955900.7549999999</v>
      </c>
      <c r="V58">
        <f t="shared" si="0"/>
        <v>1450627.4000000001</v>
      </c>
      <c r="W58">
        <f t="shared" si="1"/>
        <v>74.166718136984429</v>
      </c>
      <c r="X58">
        <v>2.1727910000000001</v>
      </c>
    </row>
    <row r="59" spans="1:24" x14ac:dyDescent="0.2">
      <c r="A59" t="s">
        <v>57</v>
      </c>
      <c r="B59">
        <v>3.2</v>
      </c>
      <c r="C59">
        <v>86.884361088660995</v>
      </c>
      <c r="D59">
        <v>4.6243062792991898</v>
      </c>
      <c r="E59">
        <v>6.9000000000000006E-2</v>
      </c>
      <c r="F59">
        <v>-0.5</v>
      </c>
      <c r="G59">
        <v>9.8388985340000001</v>
      </c>
      <c r="H59">
        <v>5.2</v>
      </c>
      <c r="I59">
        <v>0.31971805800000003</v>
      </c>
      <c r="J59">
        <v>11.24649</v>
      </c>
      <c r="K59">
        <v>0</v>
      </c>
      <c r="L59">
        <v>-6.8624893000000006E-2</v>
      </c>
      <c r="M59">
        <v>22.346489999999999</v>
      </c>
      <c r="N59">
        <v>241449.7</v>
      </c>
      <c r="O59">
        <v>247754.6</v>
      </c>
      <c r="P59" s="2">
        <v>3071152</v>
      </c>
      <c r="Q59">
        <v>240201</v>
      </c>
      <c r="R59" s="2">
        <v>3115675</v>
      </c>
      <c r="S59" s="3">
        <v>17798971</v>
      </c>
      <c r="T59">
        <v>1468.1208999999999</v>
      </c>
      <c r="U59">
        <v>1969090.0390000001</v>
      </c>
      <c r="V59">
        <f t="shared" si="0"/>
        <v>1468120.9</v>
      </c>
      <c r="W59">
        <f t="shared" si="1"/>
        <v>74.558342733051617</v>
      </c>
      <c r="X59">
        <v>1.191557</v>
      </c>
    </row>
    <row r="60" spans="1:24" x14ac:dyDescent="0.2">
      <c r="A60" t="s">
        <v>58</v>
      </c>
      <c r="B60">
        <v>3.34</v>
      </c>
      <c r="C60">
        <v>87.654689028883098</v>
      </c>
      <c r="D60">
        <v>5.3384680678858896</v>
      </c>
      <c r="E60">
        <v>8.7999999999999995E-2</v>
      </c>
      <c r="F60">
        <v>-0.54</v>
      </c>
      <c r="G60">
        <v>3.1107382499999998</v>
      </c>
      <c r="H60">
        <v>2.5</v>
      </c>
      <c r="I60">
        <v>0.35801913000000002</v>
      </c>
      <c r="J60">
        <v>10.793889999999999</v>
      </c>
      <c r="K60">
        <v>0</v>
      </c>
      <c r="L60">
        <v>-4.4498726000000002E-2</v>
      </c>
      <c r="M60">
        <v>21.69389</v>
      </c>
      <c r="N60">
        <v>235321.3</v>
      </c>
      <c r="O60">
        <v>260180.3</v>
      </c>
      <c r="P60" s="2">
        <v>2939815</v>
      </c>
      <c r="Q60">
        <v>241205.8</v>
      </c>
      <c r="R60" s="2">
        <v>2972633</v>
      </c>
      <c r="S60" s="3">
        <v>18131421</v>
      </c>
      <c r="T60">
        <v>1492.2717</v>
      </c>
      <c r="U60">
        <v>1982071.1470000001</v>
      </c>
      <c r="V60">
        <f t="shared" si="0"/>
        <v>1492271.7</v>
      </c>
      <c r="W60">
        <f t="shared" si="1"/>
        <v>75.288503253712918</v>
      </c>
      <c r="X60">
        <v>1.6183920000000001</v>
      </c>
    </row>
    <row r="61" spans="1:24" x14ac:dyDescent="0.2">
      <c r="A61" t="s">
        <v>59</v>
      </c>
      <c r="B61">
        <v>2.6</v>
      </c>
      <c r="C61">
        <v>88.391092978734903</v>
      </c>
      <c r="D61">
        <v>5.1840425932867102</v>
      </c>
      <c r="E61">
        <v>4.8000000000000001E-2</v>
      </c>
      <c r="F61">
        <v>-0.52</v>
      </c>
      <c r="G61">
        <v>1.714427411</v>
      </c>
      <c r="H61">
        <v>-2.1</v>
      </c>
      <c r="I61">
        <v>0.396266434</v>
      </c>
      <c r="J61">
        <v>8.2109799999999993</v>
      </c>
      <c r="K61">
        <v>0</v>
      </c>
      <c r="L61">
        <v>-9.1233779999999997E-3</v>
      </c>
      <c r="M61">
        <v>18.410979999999999</v>
      </c>
      <c r="N61">
        <v>241204.8</v>
      </c>
      <c r="O61">
        <v>261204.1</v>
      </c>
      <c r="P61" s="2">
        <v>3020099</v>
      </c>
      <c r="Q61">
        <v>242179.4</v>
      </c>
      <c r="R61" s="2">
        <v>3037595</v>
      </c>
      <c r="S61" s="3">
        <v>18231752</v>
      </c>
      <c r="T61">
        <v>1513.8367000000001</v>
      </c>
      <c r="U61">
        <v>1994830.973</v>
      </c>
      <c r="V61">
        <f t="shared" si="0"/>
        <v>1513836.7</v>
      </c>
      <c r="W61">
        <f t="shared" si="1"/>
        <v>75.887968479021609</v>
      </c>
      <c r="X61">
        <v>1.424526</v>
      </c>
    </row>
    <row r="62" spans="1:24" x14ac:dyDescent="0.2">
      <c r="A62" t="s">
        <v>60</v>
      </c>
      <c r="B62">
        <v>3.55</v>
      </c>
      <c r="C62">
        <v>89.182680433185396</v>
      </c>
      <c r="D62">
        <v>5.3616257080512</v>
      </c>
      <c r="E62">
        <v>-9.1999999999999998E-2</v>
      </c>
      <c r="F62">
        <v>-0.77</v>
      </c>
      <c r="G62">
        <v>7.6690582999999997</v>
      </c>
      <c r="H62">
        <v>0.2</v>
      </c>
      <c r="I62">
        <v>0.434460081</v>
      </c>
      <c r="J62">
        <v>6.6893099999999999</v>
      </c>
      <c r="K62">
        <v>0</v>
      </c>
      <c r="L62">
        <v>1.9738271000000002E-2</v>
      </c>
      <c r="M62">
        <v>16.589310000000001</v>
      </c>
      <c r="N62">
        <v>249477.7</v>
      </c>
      <c r="O62">
        <v>275322.8</v>
      </c>
      <c r="P62" s="2">
        <v>2990560</v>
      </c>
      <c r="Q62">
        <v>243867.2</v>
      </c>
      <c r="R62" s="2">
        <v>3007008</v>
      </c>
      <c r="S62" s="3">
        <v>18433132</v>
      </c>
      <c r="T62">
        <v>1536.7121999999999</v>
      </c>
      <c r="U62">
        <v>2007364.649</v>
      </c>
      <c r="V62">
        <f t="shared" si="0"/>
        <v>1536712.2</v>
      </c>
      <c r="W62">
        <f t="shared" si="1"/>
        <v>76.553714381965293</v>
      </c>
      <c r="X62">
        <v>1.4885999999999999</v>
      </c>
    </row>
    <row r="63" spans="1:24" x14ac:dyDescent="0.2">
      <c r="A63" t="s">
        <v>61</v>
      </c>
      <c r="B63">
        <v>1.87</v>
      </c>
      <c r="C63">
        <v>89.025127346180398</v>
      </c>
      <c r="D63">
        <v>1.53183766172861</v>
      </c>
      <c r="E63">
        <v>-9.0999999999999998E-2</v>
      </c>
      <c r="F63">
        <v>-0.71</v>
      </c>
      <c r="G63">
        <v>-8.5490532570000006</v>
      </c>
      <c r="H63">
        <v>-2.5</v>
      </c>
      <c r="I63">
        <v>0.41289528599999997</v>
      </c>
      <c r="J63">
        <v>7.4329900000000002</v>
      </c>
      <c r="K63">
        <v>0</v>
      </c>
      <c r="L63">
        <v>5.0135375000000003E-2</v>
      </c>
      <c r="M63">
        <v>14.93299</v>
      </c>
      <c r="N63">
        <v>245956.2</v>
      </c>
      <c r="O63">
        <v>256794.7</v>
      </c>
      <c r="P63" s="2">
        <v>3051952</v>
      </c>
      <c r="Q63">
        <v>245421.1</v>
      </c>
      <c r="R63" s="2">
        <v>3388404</v>
      </c>
      <c r="S63" s="3">
        <v>18436719</v>
      </c>
      <c r="T63">
        <v>1540.2360000000001</v>
      </c>
      <c r="U63">
        <v>2019675.5160000001</v>
      </c>
      <c r="V63">
        <f t="shared" si="0"/>
        <v>1540236</v>
      </c>
      <c r="W63">
        <f t="shared" si="1"/>
        <v>76.261557255021955</v>
      </c>
      <c r="X63">
        <v>0.22878299999999999</v>
      </c>
    </row>
    <row r="64" spans="1:24" x14ac:dyDescent="0.2">
      <c r="A64" t="s">
        <v>62</v>
      </c>
      <c r="B64">
        <v>2.38</v>
      </c>
      <c r="C64">
        <v>89.510140505551405</v>
      </c>
      <c r="D64">
        <v>4.0337781451539199</v>
      </c>
      <c r="E64">
        <v>-0.13</v>
      </c>
      <c r="F64">
        <v>-0.41</v>
      </c>
      <c r="G64">
        <v>-8.6559032550000001</v>
      </c>
      <c r="H64">
        <v>4.0999999999999996</v>
      </c>
      <c r="I64">
        <v>0.39137723400000002</v>
      </c>
      <c r="J64">
        <v>7.73217</v>
      </c>
      <c r="K64">
        <v>0</v>
      </c>
      <c r="L64">
        <v>8.0054463000000006E-2</v>
      </c>
      <c r="M64">
        <v>15.532170000000001</v>
      </c>
      <c r="N64">
        <v>240247.8</v>
      </c>
      <c r="O64">
        <v>271034.5</v>
      </c>
      <c r="P64" s="2">
        <v>3010757</v>
      </c>
      <c r="Q64">
        <v>245690.3</v>
      </c>
      <c r="R64" s="2">
        <v>3349957</v>
      </c>
      <c r="S64" s="3">
        <v>18687615</v>
      </c>
      <c r="T64">
        <v>1557.0975000000001</v>
      </c>
      <c r="U64">
        <v>2031778.176</v>
      </c>
      <c r="V64">
        <f t="shared" si="0"/>
        <v>1557097.5</v>
      </c>
      <c r="W64">
        <f t="shared" si="1"/>
        <v>76.637180101298625</v>
      </c>
      <c r="X64">
        <v>1.0828800000000001</v>
      </c>
    </row>
    <row r="65" spans="1:24" x14ac:dyDescent="0.2">
      <c r="A65" t="s">
        <v>63</v>
      </c>
      <c r="B65">
        <v>2.2200000000000002</v>
      </c>
      <c r="C65">
        <v>90.169600607409095</v>
      </c>
      <c r="D65">
        <v>4.6714930908992596</v>
      </c>
      <c r="E65">
        <v>-7.9000000000000001E-2</v>
      </c>
      <c r="F65">
        <v>-0.27</v>
      </c>
      <c r="G65">
        <v>-12.310245200000001</v>
      </c>
      <c r="H65">
        <v>4.3</v>
      </c>
      <c r="I65">
        <v>0.36990577499999999</v>
      </c>
      <c r="J65">
        <v>9.0970499999999994</v>
      </c>
      <c r="K65">
        <v>0</v>
      </c>
      <c r="L65">
        <v>6.5183254999999996E-2</v>
      </c>
      <c r="M65">
        <v>16.197050000000001</v>
      </c>
      <c r="N65">
        <v>246756.3</v>
      </c>
      <c r="O65">
        <v>271671.5</v>
      </c>
      <c r="P65" s="2">
        <v>3061517</v>
      </c>
      <c r="Q65">
        <v>247700.1</v>
      </c>
      <c r="R65" s="2">
        <v>3401145</v>
      </c>
      <c r="S65" s="3">
        <v>18759089</v>
      </c>
      <c r="T65">
        <v>1572.8633</v>
      </c>
      <c r="U65">
        <v>2043696.9750000001</v>
      </c>
      <c r="V65">
        <f t="shared" si="0"/>
        <v>1572863.3</v>
      </c>
      <c r="W65">
        <f t="shared" si="1"/>
        <v>76.961668938224065</v>
      </c>
      <c r="X65">
        <v>1.0023629999999999</v>
      </c>
    </row>
    <row r="66" spans="1:24" x14ac:dyDescent="0.2">
      <c r="A66" t="s">
        <v>64</v>
      </c>
      <c r="B66">
        <v>2.74</v>
      </c>
      <c r="C66">
        <v>91.421350454682099</v>
      </c>
      <c r="D66">
        <v>7.0635391713132902</v>
      </c>
      <c r="E66">
        <v>6.3E-2</v>
      </c>
      <c r="F66">
        <v>0.08</v>
      </c>
      <c r="G66">
        <v>-11.76914227</v>
      </c>
      <c r="H66">
        <v>0.2</v>
      </c>
      <c r="I66">
        <v>0.348480756</v>
      </c>
      <c r="J66">
        <v>7.1286099999999903</v>
      </c>
      <c r="K66">
        <v>0</v>
      </c>
      <c r="L66">
        <v>4.3283013000000002E-2</v>
      </c>
      <c r="M66">
        <v>14.12861</v>
      </c>
      <c r="N66">
        <v>256096.5</v>
      </c>
      <c r="O66">
        <v>287805.8</v>
      </c>
      <c r="P66" s="2">
        <v>3060371</v>
      </c>
      <c r="Q66">
        <v>250245.2</v>
      </c>
      <c r="R66" s="2">
        <v>3470561</v>
      </c>
      <c r="S66" s="3">
        <v>18914436</v>
      </c>
      <c r="T66">
        <v>1600.6007</v>
      </c>
      <c r="U66">
        <v>2055466.246</v>
      </c>
      <c r="V66">
        <f t="shared" si="0"/>
        <v>1600600.7</v>
      </c>
      <c r="W66">
        <f t="shared" si="1"/>
        <v>77.870444387730402</v>
      </c>
      <c r="X66">
        <v>1.7329369999999999</v>
      </c>
    </row>
    <row r="67" spans="1:24" x14ac:dyDescent="0.2">
      <c r="A67" t="s">
        <v>65</v>
      </c>
      <c r="B67">
        <v>1.21</v>
      </c>
      <c r="C67">
        <v>91.658923763513997</v>
      </c>
      <c r="D67">
        <v>2.9172979245114798</v>
      </c>
      <c r="E67">
        <v>0.192</v>
      </c>
      <c r="F67">
        <v>0.14000000000000001</v>
      </c>
      <c r="G67">
        <v>-1.8633897530000001</v>
      </c>
      <c r="H67">
        <v>3.4</v>
      </c>
      <c r="I67">
        <v>0.29571422200000003</v>
      </c>
      <c r="J67">
        <v>1.07118</v>
      </c>
      <c r="K67">
        <v>1</v>
      </c>
      <c r="L67">
        <v>6.1530939E-2</v>
      </c>
      <c r="M67">
        <v>-4.42882</v>
      </c>
      <c r="N67">
        <v>234635.8</v>
      </c>
      <c r="O67">
        <v>269852.79999999999</v>
      </c>
      <c r="P67" s="2">
        <v>3481518</v>
      </c>
      <c r="Q67">
        <v>235002.5</v>
      </c>
      <c r="R67" s="2">
        <v>3479430</v>
      </c>
      <c r="S67" s="3">
        <v>18567286</v>
      </c>
      <c r="T67">
        <v>1611.6982</v>
      </c>
      <c r="U67">
        <v>2067129.2250000001</v>
      </c>
      <c r="V67">
        <f t="shared" ref="V67:V86" si="2">T67*1000</f>
        <v>1611698.2</v>
      </c>
      <c r="W67">
        <f t="shared" ref="W67:W84" si="3">V67/U67*100</f>
        <v>77.967946101676347</v>
      </c>
      <c r="X67">
        <v>0.68855900000000003</v>
      </c>
    </row>
    <row r="68" spans="1:24" x14ac:dyDescent="0.2">
      <c r="A68" t="s">
        <v>66</v>
      </c>
      <c r="B68">
        <v>-2.63</v>
      </c>
      <c r="C68">
        <v>93.310877785823294</v>
      </c>
      <c r="D68">
        <v>8.8106433480543807</v>
      </c>
      <c r="E68">
        <v>0.78200000000000003</v>
      </c>
      <c r="F68">
        <v>1.0900000000000001</v>
      </c>
      <c r="G68">
        <v>-20.3292872</v>
      </c>
      <c r="H68">
        <v>0.8</v>
      </c>
      <c r="I68">
        <v>0.24303946900000001</v>
      </c>
      <c r="J68">
        <v>-26.818239999999999</v>
      </c>
      <c r="K68">
        <v>1</v>
      </c>
      <c r="L68">
        <v>4.5503271999999997E-2</v>
      </c>
      <c r="M68">
        <v>-24.018239999999999</v>
      </c>
      <c r="N68">
        <v>230913.4</v>
      </c>
      <c r="O68">
        <v>274033</v>
      </c>
      <c r="P68" s="2">
        <v>3518960</v>
      </c>
      <c r="Q68">
        <v>235323.9</v>
      </c>
      <c r="R68" s="2">
        <v>3534867</v>
      </c>
      <c r="S68" s="3">
        <v>18292030</v>
      </c>
      <c r="T68">
        <v>1637.9719</v>
      </c>
      <c r="U68">
        <v>2078739.8489999999</v>
      </c>
      <c r="V68">
        <f t="shared" si="2"/>
        <v>1637971.9</v>
      </c>
      <c r="W68">
        <f t="shared" si="3"/>
        <v>78.796387185629015</v>
      </c>
      <c r="X68">
        <v>1.604039</v>
      </c>
    </row>
    <row r="69" spans="1:24" x14ac:dyDescent="0.2">
      <c r="A69" t="s">
        <v>67</v>
      </c>
      <c r="B69">
        <v>-0.82</v>
      </c>
      <c r="C69">
        <v>95.307694302836097</v>
      </c>
      <c r="D69">
        <v>10.00316341597</v>
      </c>
      <c r="E69">
        <v>0.85199999999999998</v>
      </c>
      <c r="F69">
        <v>1.1000000000000001</v>
      </c>
      <c r="G69">
        <v>-3.4536546440000002</v>
      </c>
      <c r="H69">
        <v>0.5</v>
      </c>
      <c r="I69">
        <v>0.19045625799999999</v>
      </c>
      <c r="J69">
        <v>-6.90977</v>
      </c>
      <c r="K69">
        <v>1</v>
      </c>
      <c r="L69">
        <v>-5.2600720000000002E-3</v>
      </c>
      <c r="M69">
        <v>-1.6097699999999999</v>
      </c>
      <c r="N69">
        <v>236752.5</v>
      </c>
      <c r="O69">
        <v>279765.59999999998</v>
      </c>
      <c r="P69" s="2">
        <v>3519456</v>
      </c>
      <c r="Q69">
        <v>237374</v>
      </c>
      <c r="R69" s="2">
        <v>3512782</v>
      </c>
      <c r="S69" s="3">
        <v>18397698</v>
      </c>
      <c r="T69">
        <v>1683.0836999999999</v>
      </c>
      <c r="U69">
        <v>2090359.561</v>
      </c>
      <c r="V69">
        <f t="shared" si="2"/>
        <v>1683083.7</v>
      </c>
      <c r="W69">
        <f t="shared" si="3"/>
        <v>80.516468621065144</v>
      </c>
      <c r="X69">
        <v>2.6803059999999999</v>
      </c>
    </row>
    <row r="70" spans="1:24" x14ac:dyDescent="0.2">
      <c r="A70" t="s">
        <v>68</v>
      </c>
      <c r="B70">
        <v>-0.47</v>
      </c>
      <c r="C70">
        <v>97.555606760373493</v>
      </c>
      <c r="D70">
        <v>11.070480378789799</v>
      </c>
      <c r="E70">
        <v>0.75800000000000001</v>
      </c>
      <c r="F70">
        <v>0.8</v>
      </c>
      <c r="G70">
        <v>4.0665420149999996</v>
      </c>
      <c r="H70">
        <v>3.1</v>
      </c>
      <c r="I70">
        <v>0.13796435000000001</v>
      </c>
      <c r="J70">
        <v>-2.12392</v>
      </c>
      <c r="K70">
        <v>1</v>
      </c>
      <c r="L70">
        <v>-4.8973238000000002E-2</v>
      </c>
      <c r="M70">
        <v>4.6760799999999998</v>
      </c>
      <c r="N70">
        <v>240116.8</v>
      </c>
      <c r="O70">
        <v>297426.40000000002</v>
      </c>
      <c r="P70" s="2">
        <v>3541834</v>
      </c>
      <c r="Q70">
        <v>234718.2</v>
      </c>
      <c r="R70" s="2">
        <v>3534764</v>
      </c>
      <c r="S70" s="3">
        <v>18378540</v>
      </c>
      <c r="T70">
        <v>1729.4847</v>
      </c>
      <c r="U70">
        <v>2102041.767</v>
      </c>
      <c r="V70">
        <f t="shared" si="2"/>
        <v>1729484.7</v>
      </c>
      <c r="W70">
        <f t="shared" si="3"/>
        <v>82.276419391432569</v>
      </c>
      <c r="X70">
        <v>2.682938</v>
      </c>
    </row>
    <row r="71" spans="1:24" x14ac:dyDescent="0.2">
      <c r="A71" t="s">
        <v>69</v>
      </c>
      <c r="B71">
        <v>2.5299999999999998</v>
      </c>
      <c r="C71">
        <v>99.588928042658296</v>
      </c>
      <c r="D71">
        <v>10.226793777941699</v>
      </c>
      <c r="E71">
        <v>0.41299999999999998</v>
      </c>
      <c r="F71">
        <v>0.93</v>
      </c>
      <c r="G71">
        <v>12.461554230000001</v>
      </c>
      <c r="H71">
        <v>5.5</v>
      </c>
      <c r="I71">
        <v>7.1235696000000001E-2</v>
      </c>
      <c r="J71">
        <v>5.26166</v>
      </c>
      <c r="K71">
        <v>1</v>
      </c>
      <c r="L71">
        <v>-6.6331103000000002E-2</v>
      </c>
      <c r="M71">
        <v>26.661660000000001</v>
      </c>
      <c r="N71">
        <v>236290</v>
      </c>
      <c r="O71">
        <v>266642</v>
      </c>
      <c r="P71" s="2">
        <v>3510898</v>
      </c>
      <c r="Q71">
        <v>237477.1</v>
      </c>
      <c r="R71" s="2">
        <v>3459354</v>
      </c>
      <c r="S71" s="3">
        <v>18225647</v>
      </c>
      <c r="T71">
        <v>1766.7212999999999</v>
      </c>
      <c r="U71">
        <v>2113821.2259999998</v>
      </c>
      <c r="V71">
        <f t="shared" si="2"/>
        <v>1766721.2999999998</v>
      </c>
      <c r="W71">
        <f t="shared" si="3"/>
        <v>83.579504182725046</v>
      </c>
      <c r="X71">
        <v>2.1076670000000002</v>
      </c>
    </row>
    <row r="72" spans="1:24" x14ac:dyDescent="0.2">
      <c r="A72" t="s">
        <v>70</v>
      </c>
      <c r="B72">
        <v>6.96</v>
      </c>
      <c r="C72">
        <v>101.794290031636</v>
      </c>
      <c r="D72">
        <v>10.956415738568101</v>
      </c>
      <c r="E72">
        <v>-0.52900000000000003</v>
      </c>
      <c r="F72">
        <v>-0.01</v>
      </c>
      <c r="G72">
        <v>42.04441929</v>
      </c>
      <c r="H72">
        <v>8.1999999999999904</v>
      </c>
      <c r="I72">
        <v>4.5530420000000002E-3</v>
      </c>
      <c r="J72">
        <v>40.836129999999997</v>
      </c>
      <c r="K72">
        <v>1</v>
      </c>
      <c r="L72">
        <v>-8.0245749000000005E-2</v>
      </c>
      <c r="M72">
        <v>54.736130000000003</v>
      </c>
      <c r="N72">
        <v>240945.5</v>
      </c>
      <c r="O72">
        <v>282479.3</v>
      </c>
      <c r="P72" s="2">
        <v>3453761</v>
      </c>
      <c r="Q72">
        <v>244702.7</v>
      </c>
      <c r="R72" s="2">
        <v>3385045</v>
      </c>
      <c r="S72" s="3">
        <v>18649453</v>
      </c>
      <c r="T72">
        <v>1810.5759</v>
      </c>
      <c r="U72">
        <v>2125705.4780000001</v>
      </c>
      <c r="V72">
        <f t="shared" si="2"/>
        <v>1810575.9000000001</v>
      </c>
      <c r="W72">
        <f t="shared" si="3"/>
        <v>85.175294448763708</v>
      </c>
      <c r="X72">
        <v>2.4221349999999999</v>
      </c>
    </row>
    <row r="73" spans="1:24" x14ac:dyDescent="0.2">
      <c r="A73" t="s">
        <v>71</v>
      </c>
      <c r="B73">
        <v>4.6399999999999997</v>
      </c>
      <c r="C73">
        <v>103.615556184035</v>
      </c>
      <c r="D73">
        <v>9.1494277628410892</v>
      </c>
      <c r="E73">
        <v>-0.91800000000000004</v>
      </c>
      <c r="F73">
        <v>0.25</v>
      </c>
      <c r="G73">
        <v>26.49728361</v>
      </c>
      <c r="H73">
        <v>14.8</v>
      </c>
      <c r="I73">
        <v>-6.2083659999999999E-2</v>
      </c>
      <c r="J73">
        <v>20.448029999999999</v>
      </c>
      <c r="K73">
        <v>1</v>
      </c>
      <c r="L73">
        <v>-2.3189235999999998E-2</v>
      </c>
      <c r="M73">
        <v>30.648029999999999</v>
      </c>
      <c r="N73">
        <v>245463.5</v>
      </c>
      <c r="O73">
        <v>282131.5</v>
      </c>
      <c r="P73" s="2">
        <v>3773240</v>
      </c>
      <c r="Q73">
        <v>245780.9</v>
      </c>
      <c r="R73" s="2">
        <v>3672968</v>
      </c>
      <c r="S73" s="3">
        <v>18914625</v>
      </c>
      <c r="T73">
        <v>1845.5395000000001</v>
      </c>
      <c r="U73">
        <v>2137675.057</v>
      </c>
      <c r="V73">
        <f t="shared" si="2"/>
        <v>1845539.5</v>
      </c>
      <c r="W73">
        <f t="shared" si="3"/>
        <v>86.333958660209973</v>
      </c>
      <c r="X73">
        <v>1.8944920000000001</v>
      </c>
    </row>
    <row r="74" spans="1:24" x14ac:dyDescent="0.2">
      <c r="A74" t="s">
        <v>72</v>
      </c>
      <c r="B74">
        <v>4.3</v>
      </c>
      <c r="C74">
        <v>104.756734831781</v>
      </c>
      <c r="D74">
        <v>6.8939485539123497</v>
      </c>
      <c r="E74">
        <v>-0.74099999999999999</v>
      </c>
      <c r="F74">
        <v>0.51</v>
      </c>
      <c r="G74">
        <v>24.539437249999999</v>
      </c>
      <c r="H74">
        <v>16.5</v>
      </c>
      <c r="I74">
        <v>-0.12867445899999999</v>
      </c>
      <c r="J74">
        <v>22.6648</v>
      </c>
      <c r="K74">
        <v>1</v>
      </c>
      <c r="L74">
        <v>5.8427328000000001E-2</v>
      </c>
      <c r="M74">
        <v>32.864800000000002</v>
      </c>
      <c r="N74">
        <v>255885.4</v>
      </c>
      <c r="O74">
        <v>298969.5</v>
      </c>
      <c r="P74" s="2">
        <v>3783306</v>
      </c>
      <c r="Q74">
        <v>250623.6</v>
      </c>
      <c r="R74" s="2">
        <v>3646560</v>
      </c>
      <c r="S74" s="3">
        <v>19190629</v>
      </c>
      <c r="T74">
        <v>1862.9084</v>
      </c>
      <c r="U74">
        <v>2149698.923</v>
      </c>
      <c r="V74">
        <f t="shared" si="2"/>
        <v>1862908.4000000001</v>
      </c>
      <c r="W74">
        <f t="shared" si="3"/>
        <v>86.659037694461375</v>
      </c>
      <c r="X74">
        <v>0.93235400000000002</v>
      </c>
    </row>
    <row r="75" spans="1:24" x14ac:dyDescent="0.2">
      <c r="A75" t="s">
        <v>73</v>
      </c>
      <c r="B75">
        <v>3.48</v>
      </c>
      <c r="C75">
        <v>105.44487575601001</v>
      </c>
      <c r="D75">
        <v>4.5407239354242401</v>
      </c>
      <c r="E75">
        <v>-0.45100000000000001</v>
      </c>
      <c r="F75">
        <v>0.71</v>
      </c>
      <c r="G75">
        <v>18.4374091</v>
      </c>
      <c r="H75">
        <v>8.3000000000000007</v>
      </c>
      <c r="I75">
        <v>-0.143319423</v>
      </c>
      <c r="J75">
        <v>22.100650000000002</v>
      </c>
      <c r="K75">
        <v>0</v>
      </c>
      <c r="L75">
        <v>8.1960155000000007E-2</v>
      </c>
      <c r="M75">
        <v>30.600650000000002</v>
      </c>
      <c r="N75">
        <v>246084.5</v>
      </c>
      <c r="O75">
        <v>268654.3</v>
      </c>
      <c r="P75" s="2">
        <v>3860431</v>
      </c>
      <c r="Q75">
        <v>247555.7</v>
      </c>
      <c r="R75" s="2">
        <v>3660564</v>
      </c>
      <c r="S75" s="3">
        <v>19230797</v>
      </c>
      <c r="T75">
        <v>1862.9494999999999</v>
      </c>
      <c r="U75">
        <v>2161740.5150000001</v>
      </c>
      <c r="V75">
        <f t="shared" si="2"/>
        <v>1862949.5</v>
      </c>
      <c r="W75">
        <f t="shared" si="3"/>
        <v>86.178220145908668</v>
      </c>
      <c r="X75">
        <v>2.2060000000000001E-3</v>
      </c>
    </row>
    <row r="76" spans="1:24" x14ac:dyDescent="0.2">
      <c r="A76" t="s">
        <v>74</v>
      </c>
      <c r="B76">
        <v>3.03</v>
      </c>
      <c r="C76">
        <v>106.352073471138</v>
      </c>
      <c r="D76">
        <v>6.1744820527424302</v>
      </c>
      <c r="E76">
        <v>-3.0000000000000001E-3</v>
      </c>
      <c r="F76">
        <v>0.55000000000000004</v>
      </c>
      <c r="G76">
        <v>13.00581347</v>
      </c>
      <c r="H76">
        <v>7.4</v>
      </c>
      <c r="I76">
        <v>-0.15797381499999999</v>
      </c>
      <c r="J76">
        <v>20.937259999999998</v>
      </c>
      <c r="K76">
        <v>0</v>
      </c>
      <c r="L76">
        <v>0.12410594799999999</v>
      </c>
      <c r="M76">
        <v>24.337260000000001</v>
      </c>
      <c r="N76">
        <v>251576</v>
      </c>
      <c r="O76">
        <v>283391</v>
      </c>
      <c r="P76" s="2">
        <v>3942833</v>
      </c>
      <c r="Q76">
        <v>255152.4</v>
      </c>
      <c r="R76" s="2">
        <v>3667410</v>
      </c>
      <c r="S76" s="3">
        <v>19504090</v>
      </c>
      <c r="T76">
        <v>1868.4267</v>
      </c>
      <c r="U76">
        <v>2173765.9870000002</v>
      </c>
      <c r="V76">
        <f t="shared" si="2"/>
        <v>1868426.7</v>
      </c>
      <c r="W76">
        <f t="shared" si="3"/>
        <v>85.953442604859362</v>
      </c>
      <c r="X76">
        <v>0.29314499999999999</v>
      </c>
    </row>
    <row r="77" spans="1:24" x14ac:dyDescent="0.2">
      <c r="A77" t="s">
        <v>75</v>
      </c>
      <c r="B77">
        <v>3.41</v>
      </c>
      <c r="C77">
        <v>106.388733441366</v>
      </c>
      <c r="D77">
        <v>2.4116969400445698</v>
      </c>
      <c r="E77">
        <v>0.51</v>
      </c>
      <c r="F77">
        <v>-0.35</v>
      </c>
      <c r="G77">
        <v>5.7636514549999998</v>
      </c>
      <c r="H77">
        <v>10.6</v>
      </c>
      <c r="I77">
        <v>-0.17263764400000001</v>
      </c>
      <c r="J77">
        <v>18.9284</v>
      </c>
      <c r="K77">
        <v>0</v>
      </c>
      <c r="L77">
        <v>0.15604958299999999</v>
      </c>
      <c r="M77">
        <v>24.628399999999999</v>
      </c>
      <c r="N77">
        <v>258569.7</v>
      </c>
      <c r="O77">
        <v>284073.7</v>
      </c>
      <c r="P77" s="2">
        <v>3850299</v>
      </c>
      <c r="Q77">
        <v>258475.2</v>
      </c>
      <c r="R77" s="2">
        <v>3541156</v>
      </c>
      <c r="S77" s="3">
        <v>19631914</v>
      </c>
      <c r="T77">
        <v>1871.1079999999999</v>
      </c>
      <c r="U77">
        <v>2185746.9530000002</v>
      </c>
      <c r="V77">
        <f t="shared" si="2"/>
        <v>1871108</v>
      </c>
      <c r="W77">
        <f t="shared" si="3"/>
        <v>85.604968929813708</v>
      </c>
      <c r="X77">
        <v>0.14330000000000001</v>
      </c>
    </row>
    <row r="78" spans="1:24" x14ac:dyDescent="0.2">
      <c r="A78" t="s">
        <v>76</v>
      </c>
      <c r="B78">
        <v>1.1299999999999999</v>
      </c>
      <c r="C78">
        <v>106.12203059313801</v>
      </c>
      <c r="D78">
        <v>1.3090446228464301</v>
      </c>
      <c r="E78">
        <v>0.96099999999999997</v>
      </c>
      <c r="F78">
        <v>-1.32</v>
      </c>
      <c r="G78">
        <v>-10.00221576</v>
      </c>
      <c r="H78">
        <v>3</v>
      </c>
      <c r="I78">
        <v>-0.18731091999999999</v>
      </c>
      <c r="J78">
        <v>17.988769999999999</v>
      </c>
      <c r="K78">
        <v>0</v>
      </c>
      <c r="L78">
        <v>0.1488139</v>
      </c>
      <c r="M78">
        <v>20.488769999999999</v>
      </c>
      <c r="N78">
        <v>263185.5</v>
      </c>
      <c r="O78">
        <v>294386.5</v>
      </c>
      <c r="P78" s="2">
        <v>3905409</v>
      </c>
      <c r="Q78">
        <v>258232.3</v>
      </c>
      <c r="R78" s="2">
        <v>3577692</v>
      </c>
      <c r="S78" s="3">
        <v>19777688</v>
      </c>
      <c r="T78">
        <v>1867.5533</v>
      </c>
      <c r="U78">
        <v>2197664.0350000001</v>
      </c>
      <c r="V78">
        <f t="shared" si="2"/>
        <v>1867553.3</v>
      </c>
      <c r="W78">
        <f t="shared" si="3"/>
        <v>84.979017277315535</v>
      </c>
      <c r="X78">
        <v>-0.19034000000000001</v>
      </c>
    </row>
    <row r="79" spans="1:24" x14ac:dyDescent="0.2">
      <c r="A79" t="s">
        <v>77</v>
      </c>
      <c r="B79">
        <v>1.1100000000000001</v>
      </c>
      <c r="C79">
        <v>102.95607358335199</v>
      </c>
      <c r="D79">
        <v>-1.6529917925159501</v>
      </c>
      <c r="E79">
        <v>0.311</v>
      </c>
      <c r="F79">
        <v>-2.15</v>
      </c>
      <c r="G79">
        <v>-12.7924302</v>
      </c>
      <c r="H79">
        <v>8.6</v>
      </c>
      <c r="I79">
        <v>-0.121199421</v>
      </c>
      <c r="J79">
        <v>20.143540000000002</v>
      </c>
      <c r="K79">
        <v>0</v>
      </c>
      <c r="L79">
        <v>5.8167106000000003E-2</v>
      </c>
      <c r="M79">
        <v>25.243539999999999</v>
      </c>
      <c r="N79">
        <v>257996.4</v>
      </c>
      <c r="O79">
        <v>263677.59999999998</v>
      </c>
      <c r="P79" s="2">
        <v>3991041</v>
      </c>
      <c r="Q79">
        <v>259374.6</v>
      </c>
      <c r="R79" s="2">
        <v>3618022</v>
      </c>
      <c r="S79" s="3">
        <v>19761681</v>
      </c>
      <c r="T79">
        <v>1853.0675000000001</v>
      </c>
      <c r="U79">
        <v>2209509.96</v>
      </c>
      <c r="V79">
        <f t="shared" si="2"/>
        <v>1853067.5</v>
      </c>
      <c r="W79">
        <f t="shared" si="3"/>
        <v>83.867804786903974</v>
      </c>
      <c r="X79">
        <v>-0.78171999999999997</v>
      </c>
    </row>
    <row r="80" spans="1:24" x14ac:dyDescent="0.2">
      <c r="A80" t="s">
        <v>78</v>
      </c>
      <c r="B80">
        <v>0.98</v>
      </c>
      <c r="C80">
        <v>102.925795339072</v>
      </c>
      <c r="D80">
        <v>2.2543331399708202</v>
      </c>
      <c r="E80">
        <v>7.4999999999999997E-2</v>
      </c>
      <c r="F80">
        <v>-2.4700000000000002</v>
      </c>
      <c r="G80">
        <v>-12.043790850000001</v>
      </c>
      <c r="H80">
        <v>3.3</v>
      </c>
      <c r="I80">
        <v>-5.5025946999999999E-2</v>
      </c>
      <c r="J80">
        <v>19.07245</v>
      </c>
      <c r="K80">
        <v>0</v>
      </c>
      <c r="L80">
        <v>4.3809402999999997E-2</v>
      </c>
      <c r="M80">
        <v>24.472449999999998</v>
      </c>
      <c r="N80">
        <v>254943.6</v>
      </c>
      <c r="O80">
        <v>277767.7</v>
      </c>
      <c r="P80" s="2">
        <v>3831134</v>
      </c>
      <c r="Q80">
        <v>258574.4</v>
      </c>
      <c r="R80" s="2">
        <v>3450850</v>
      </c>
      <c r="S80" s="3">
        <v>19957250</v>
      </c>
      <c r="T80">
        <v>1861.2996000000001</v>
      </c>
      <c r="U80">
        <v>2221286.892</v>
      </c>
      <c r="V80">
        <f t="shared" si="2"/>
        <v>1861299.6</v>
      </c>
      <c r="W80">
        <f t="shared" si="3"/>
        <v>83.793750672346746</v>
      </c>
      <c r="X80">
        <v>0.44227699999999998</v>
      </c>
    </row>
    <row r="81" spans="1:24" x14ac:dyDescent="0.2">
      <c r="A81" t="s">
        <v>79</v>
      </c>
      <c r="B81">
        <v>1.4</v>
      </c>
      <c r="C81">
        <v>103.35284248992799</v>
      </c>
      <c r="D81">
        <v>3.8594040700901502</v>
      </c>
      <c r="E81">
        <v>-0.17699999999999999</v>
      </c>
      <c r="F81">
        <v>-2.0699999999999998</v>
      </c>
      <c r="G81">
        <v>-9.7236476960000005</v>
      </c>
      <c r="H81">
        <v>-6.2</v>
      </c>
      <c r="I81">
        <v>1.1209589000000001E-2</v>
      </c>
      <c r="J81">
        <v>18.588840000000001</v>
      </c>
      <c r="K81">
        <v>0</v>
      </c>
      <c r="L81">
        <v>-2.0818575999999998E-2</v>
      </c>
      <c r="M81">
        <v>22.48884</v>
      </c>
      <c r="N81">
        <v>258976.1</v>
      </c>
      <c r="O81">
        <v>279596.7</v>
      </c>
      <c r="P81" s="2">
        <v>3970459</v>
      </c>
      <c r="Q81">
        <v>258751.4</v>
      </c>
      <c r="R81" s="2">
        <v>3540942</v>
      </c>
      <c r="S81" s="3">
        <v>20007053</v>
      </c>
      <c r="T81">
        <v>1878.4273000000001</v>
      </c>
      <c r="U81">
        <v>2233001.7680000002</v>
      </c>
      <c r="V81">
        <f t="shared" si="2"/>
        <v>1878427.3</v>
      </c>
      <c r="W81">
        <f t="shared" si="3"/>
        <v>84.12117387987665</v>
      </c>
      <c r="X81">
        <v>0.91181100000000004</v>
      </c>
    </row>
    <row r="82" spans="1:24" x14ac:dyDescent="0.2">
      <c r="A82" t="s">
        <v>80</v>
      </c>
      <c r="B82">
        <v>2.09</v>
      </c>
      <c r="C82">
        <v>103.217031801929</v>
      </c>
      <c r="D82">
        <v>1.6271117496485501</v>
      </c>
      <c r="E82">
        <v>-0.72299999999999998</v>
      </c>
      <c r="F82">
        <v>-1.43</v>
      </c>
      <c r="G82">
        <v>5.7061924829999997</v>
      </c>
      <c r="H82">
        <v>-4.5999999999999996</v>
      </c>
      <c r="I82">
        <v>7.7507275E-2</v>
      </c>
      <c r="J82">
        <v>15.97193</v>
      </c>
      <c r="K82">
        <v>0</v>
      </c>
      <c r="L82">
        <v>-2.7608173999999999E-2</v>
      </c>
      <c r="M82">
        <v>20.17193</v>
      </c>
      <c r="N82">
        <v>264353.59999999998</v>
      </c>
      <c r="O82">
        <v>291713</v>
      </c>
      <c r="P82" s="2">
        <v>4043732</v>
      </c>
      <c r="Q82">
        <v>259569.2</v>
      </c>
      <c r="R82" s="2">
        <v>3582329</v>
      </c>
      <c r="S82" s="3">
        <v>20031955</v>
      </c>
      <c r="T82">
        <v>1885.4512</v>
      </c>
      <c r="U82">
        <v>2244663.3659999999</v>
      </c>
      <c r="V82">
        <f t="shared" si="2"/>
        <v>1885451.2</v>
      </c>
      <c r="W82">
        <f t="shared" si="3"/>
        <v>83.997058470281104</v>
      </c>
      <c r="X82">
        <v>0.37253199999999997</v>
      </c>
    </row>
    <row r="83" spans="1:24" x14ac:dyDescent="0.2">
      <c r="A83" t="s">
        <v>81</v>
      </c>
      <c r="B83">
        <v>3.27</v>
      </c>
      <c r="C83">
        <v>102.711203253723</v>
      </c>
      <c r="D83">
        <v>0.248217756706445</v>
      </c>
      <c r="E83">
        <v>-0.222</v>
      </c>
      <c r="F83">
        <v>-0.81</v>
      </c>
      <c r="G83">
        <v>8.0551569389999997</v>
      </c>
      <c r="H83">
        <v>-4</v>
      </c>
      <c r="I83">
        <v>7.6716369000000006E-2</v>
      </c>
      <c r="J83">
        <v>11.889799999999999</v>
      </c>
      <c r="K83">
        <v>0</v>
      </c>
      <c r="L83">
        <v>4.1736528000000002E-2</v>
      </c>
      <c r="M83">
        <v>16.189800000000002</v>
      </c>
      <c r="N83">
        <v>260114.7</v>
      </c>
      <c r="P83" s="2">
        <v>4046185</v>
      </c>
      <c r="Q83">
        <v>261279.4</v>
      </c>
      <c r="R83" s="2">
        <v>3561155</v>
      </c>
      <c r="S83" s="3">
        <v>19963835</v>
      </c>
      <c r="T83">
        <v>1882.3853999999999</v>
      </c>
      <c r="U83">
        <v>2256279.088</v>
      </c>
      <c r="V83">
        <f t="shared" si="2"/>
        <v>1882385.4</v>
      </c>
      <c r="W83">
        <f t="shared" si="3"/>
        <v>83.428748243577218</v>
      </c>
      <c r="X83">
        <v>-0.16286999999999999</v>
      </c>
    </row>
    <row r="84" spans="1:24" x14ac:dyDescent="0.2">
      <c r="A84" t="s">
        <v>82</v>
      </c>
      <c r="B84">
        <v>2.29</v>
      </c>
      <c r="C84">
        <v>102.921194551626</v>
      </c>
      <c r="D84">
        <v>2.5529759180450502</v>
      </c>
      <c r="E84">
        <v>-0.33200000000000002</v>
      </c>
      <c r="F84">
        <v>-0.34</v>
      </c>
      <c r="G84">
        <v>10.096833009999999</v>
      </c>
      <c r="H84">
        <v>-0.2</v>
      </c>
      <c r="I84">
        <v>7.5925770000000004E-2</v>
      </c>
      <c r="J84">
        <v>11.478759999999999</v>
      </c>
      <c r="K84">
        <v>0</v>
      </c>
      <c r="L84">
        <v>4.1393043999999997E-2</v>
      </c>
      <c r="M84">
        <v>15.478759999999999</v>
      </c>
      <c r="N84">
        <v>256757.4</v>
      </c>
      <c r="P84" s="2">
        <v>3963788</v>
      </c>
      <c r="Q84">
        <v>260592.5</v>
      </c>
      <c r="R84" s="2">
        <v>3477617</v>
      </c>
      <c r="S84" s="3">
        <v>20119928</v>
      </c>
      <c r="T84">
        <v>1895.8019999999999</v>
      </c>
      <c r="U84">
        <v>2267855.5279999999</v>
      </c>
      <c r="V84">
        <f t="shared" si="2"/>
        <v>1895802</v>
      </c>
      <c r="W84">
        <f t="shared" si="3"/>
        <v>83.59447842217223</v>
      </c>
      <c r="X84">
        <v>0.7077</v>
      </c>
    </row>
    <row r="85" spans="1:24" x14ac:dyDescent="0.2">
      <c r="A85" t="s">
        <v>94</v>
      </c>
      <c r="B85">
        <v>1.49</v>
      </c>
      <c r="E85">
        <v>-0.27300000000000002</v>
      </c>
      <c r="F85">
        <v>0</v>
      </c>
      <c r="G85">
        <v>10.603767380000001</v>
      </c>
      <c r="K85">
        <v>0</v>
      </c>
      <c r="N85">
        <v>262061.3</v>
      </c>
      <c r="P85" s="2">
        <v>4187743</v>
      </c>
      <c r="Q85">
        <v>262061.3</v>
      </c>
      <c r="R85" s="2">
        <v>3659335</v>
      </c>
      <c r="S85" s="3">
        <v>20127482</v>
      </c>
      <c r="T85">
        <v>1914.2799</v>
      </c>
      <c r="V85">
        <f t="shared" si="2"/>
        <v>1914279.9</v>
      </c>
      <c r="X85">
        <v>0.96526599999999996</v>
      </c>
    </row>
    <row r="86" spans="1:24" x14ac:dyDescent="0.2">
      <c r="P86" s="2">
        <v>4207413</v>
      </c>
      <c r="R86" s="2">
        <v>3669149</v>
      </c>
      <c r="S86" s="3">
        <v>20117799</v>
      </c>
      <c r="T86">
        <v>1927.2598</v>
      </c>
      <c r="V86">
        <f t="shared" si="2"/>
        <v>1927259.8</v>
      </c>
      <c r="X86">
        <v>0.67349000000000003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JOOHYEONG LEE</dc:creator>
  <cp:lastModifiedBy>KyuYeon Hwang</cp:lastModifiedBy>
  <dcterms:created xsi:type="dcterms:W3CDTF">2025-03-04T12:52:54Z</dcterms:created>
  <dcterms:modified xsi:type="dcterms:W3CDTF">2025-04-21T07:49:50Z</dcterms:modified>
</cp:coreProperties>
</file>